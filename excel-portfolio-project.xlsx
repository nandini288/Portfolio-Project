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
    </mc:Choice>
  </mc:AlternateContent>
  <xr:revisionPtr revIDLastSave="0" documentId="13_ncr:1_{5E69A7B0-EC09-4FB5-BAEA-22B5B121D0A0}" xr6:coauthVersionLast="47" xr6:coauthVersionMax="47" xr10:uidLastSave="{00000000-0000-0000-0000-000000000000}"/>
  <bookViews>
    <workbookView xWindow="-113" yWindow="-113" windowWidth="24267" windowHeight="13023" activeTab="2" xr2:uid="{26D4546B-D2A1-4444-8EAF-A6228F96F0C1}"/>
  </bookViews>
  <sheets>
    <sheet name="pivot" sheetId="6" r:id="rId1"/>
    <sheet name="Data" sheetId="2" r:id="rId2"/>
    <sheet name="customer center report" sheetId="5" r:id="rId3"/>
    <sheet name="Assets" sheetId="4" r:id="rId4"/>
  </sheets>
  <definedNames>
    <definedName name="_xlnm._FilterDatabase" localSheetId="1" hidden="1">Data!$B$3:$H$1003</definedName>
    <definedName name="_xlcn.WorksheetConnection_excelportfolioproject.xlsxcalls1" hidden="1">calls[]</definedName>
    <definedName name="_xlcn.WorksheetConnection_excelportfolioproject.xlsxcustomers1" hidden="1">customers[]</definedName>
    <definedName name="Slicer_Representative">#N/A</definedName>
  </definedNames>
  <calcPr calcId="191029"/>
  <pivotCaches>
    <pivotCache cacheId="583" r:id="rId5"/>
    <pivotCache cacheId="586" r:id="rId6"/>
    <pivotCache cacheId="589" r:id="rId7"/>
    <pivotCache cacheId="949" r:id="rId8"/>
    <pivotCache cacheId="1207" r:id="rId9"/>
    <pivotCache cacheId="1210" r:id="rId10"/>
    <pivotCache cacheId="1213" r:id="rId11"/>
    <pivotCache cacheId="1216" r:id="rId12"/>
    <pivotCache cacheId="1219" r:id="rId13"/>
  </pivotCaches>
  <extLst>
    <ext xmlns:x14="http://schemas.microsoft.com/office/spreadsheetml/2009/9/main" uri="{876F7934-8845-4945-9796-88D515C7AA90}">
      <x14:pivotCaches>
        <pivotCache cacheId="59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excel-portfolio-project.xlsx!calls"/>
          <x15:modelTable id="customers" name="customers" connection="WorksheetConnection_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6" l="1"/>
  <c r="D44" i="6" s="1"/>
  <c r="D48" i="6" s="1"/>
  <c r="M35" i="5" s="1"/>
  <c r="D40" i="6"/>
  <c r="D43" i="6" s="1"/>
  <c r="D47" i="6" s="1"/>
  <c r="M34" i="5" s="1"/>
  <c r="D39" i="6"/>
  <c r="D46" i="6" s="1"/>
  <c r="M33" i="5" s="1"/>
  <c r="Q18" i="5" a="1"/>
  <c r="Q18" i="5" s="1"/>
  <c r="J24" i="6"/>
  <c r="I30"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2" i="6" l="1"/>
  <c r="H30" i="6"/>
  <c r="H29" i="6"/>
  <c r="I29" i="6"/>
  <c r="I33" i="6"/>
  <c r="H33" i="6"/>
  <c r="H31" i="6"/>
  <c r="I32" i="6"/>
  <c r="I3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C618B0-A76C-493B-A4A4-DDEDB4276E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B23AAC-F1AD-46BE-B488-FA265A1C8DF1}" name="WorksheetConnection_excel-portfolio-project.xlsx!calls" type="102" refreshedVersion="8" minRefreshableVersion="5">
    <extLst>
      <ext xmlns:x15="http://schemas.microsoft.com/office/spreadsheetml/2010/11/main" uri="{DE250136-89BD-433C-8126-D09CA5730AF9}">
        <x15:connection id="calls" autoDelete="1">
          <x15:rangePr sourceName="_xlcn.WorksheetConnection_excelportfolioproject.xlsxcalls1"/>
        </x15:connection>
      </ext>
    </extLst>
  </connection>
  <connection id="3" xr16:uid="{28E426B8-423A-4649-9083-EEADF38CA72B}" name="WorksheetConnection_excel-portfolio-project.xlsx!customers" type="102" refreshedVersion="8" minRefreshableVersion="5">
    <extLst>
      <ext xmlns:x15="http://schemas.microsoft.com/office/spreadsheetml/2010/11/main" uri="{DE250136-89BD-433C-8126-D09CA5730AF9}">
        <x15:connection id="customers">
          <x15:rangePr sourceName="_xlcn.WorksheetConnection_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<sst xmlns="http://schemas.openxmlformats.org/spreadsheetml/2006/main" count="3197" uniqueCount="1084">
  <si>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</si>
  <si>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</si>
  <si>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</si>
  <si>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</si>
  <si>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</si>
  <si>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</si>
  <si>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</si>
  <si>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</si>
  <si>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</si>
  <si>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</si>
  <si>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</si>
  <si>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</si>
  <si>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</si>
  <si>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</si>
  <si>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</si>
  <si>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</si>
  <si>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</si>
  <si>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</si>
  <si>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</si>
  <si>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</si>
  <si>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</si>
  <si>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</si>
  <si>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</si>
  <si>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</si>
  <si>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</si>
  <si>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</si>
  <si>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</si>
  <si>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</si>
  <si>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</si>
  <si>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</si>
  <si>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</si>
  <si>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</si>
  <si>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</si>
  <si>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</si>
  <si>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</si>
  <si>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</si>
  <si>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</si>
  <si>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</si>
  <si>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</si>
  <si>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</si>
  <si>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</si>
  <si>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</si>
  <si>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</si>
  <si>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</si>
  <si>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</si>
  <si>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</si>
  <si>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</si>
  <si>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</si>
  <si>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</si>
  <si>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</si>
  <si>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</si>
  <si>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</si>
  <si>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</si>
  <si>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</si>
  <si>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</si>
  <si>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</si>
  <si>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</si>
  <si>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</si>
  <si>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</si>
  <si>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</si>
  <si>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</si>
  <si>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</si>
  <si>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</si>
  <si>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</si>
  <si>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</si>
  <si>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</si>
  <si>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</si>
  <si>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</si>
  <si>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</si>
  <si>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</si>
  <si>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</si>
  <si>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</si>
  <si>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</si>
  <si>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</si>
  <si>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</si>
  <si>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</si>
  <si>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</si>
  <si>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</si>
  <si>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</si>
  <si>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</si>
  <si>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</si>
  <si>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</si>
  <si>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</si>
  <si>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</si>
  <si>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</si>
  <si>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</si>
  <si>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</si>
  <si>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</si>
  <si>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</si>
  <si>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</si>
  <si>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</si>
  <si>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</si>
  <si>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</si>
  <si>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</si>
  <si>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</si>
  <si>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</si>
  <si>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</si>
  <si>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</si>
  <si>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</si>
  <si>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</si>
  <si>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</si>
  <si>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</si>
  <si>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</si>
  <si>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</si>
  <si>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</si>
  <si>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</si>
  <si>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</si>
  <si>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</si>
  <si>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</si>
  <si>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</si>
  <si>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</si>
  <si>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</si>
  <si>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</si>
  <si>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</si>
  <si>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</si>
  <si>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</si>
  <si>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</si>
  <si>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</si>
  <si>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</si>
  <si>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</si>
  <si>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</si>
  <si>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</si>
  <si>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</si>
  <si>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</si>
  <si>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</si>
  <si>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</si>
  <si>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</si>
  <si>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</si>
  <si>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</si>
  <si>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</si>
  <si>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</si>
  <si>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</si>
  <si>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</si>
  <si>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</si>
  <si>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</si>
  <si>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</si>
  <si>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</si>
  <si>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</si>
  <si>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</si>
  <si>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</si>
  <si>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</si>
  <si>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</si>
  <si>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</si>
  <si>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</si>
  <si>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</si>
  <si>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</si>
  <si>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</si>
  <si>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</si>
  <si>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</si>
  <si>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</si>
  <si>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</si>
  <si>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</si>
  <si>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</si>
  <si>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</si>
  <si>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</si>
  <si>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</si>
  <si>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</si>
  <si>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</si>
  <si>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</si>
  <si>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</si>
  <si>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</si>
  <si>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</si>
  <si>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</si>
  <si>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</si>
  <si>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</si>
  <si>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</si>
  <si>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</si>
  <si>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</si>
  <si>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</si>
  <si>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</si>
  <si>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</si>
  <si>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</si>
  <si>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</si>
  <si>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</si>
  <si>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</si>
  <si>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</si>
  <si>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</si>
  <si>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</si>
  <si>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</si>
  <si>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</si>
  <si>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</si>
  <si>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</si>
  <si>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</si>
  <si>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</si>
  <si>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</si>
  <si>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</si>
  <si>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</si>
  <si>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</si>
  <si>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</si>
  <si>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</si>
  <si>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</si>
  <si>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</si>
  <si>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</si>
  <si>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</si>
  <si>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</si>
  <si>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</si>
  <si>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</si>
  <si>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</si>
  <si>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</si>
  <si>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</si>
  <si>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</si>
  <si>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</si>
  <si>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</si>
  <si>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</si>
  <si>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</si>
  <si>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</si>
  <si>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</si>
  <si>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</si>
  <si>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</si>
  <si>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</si>
  <si>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</si>
  <si>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</si>
  <si>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</si>
  <si>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</si>
  <si>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</si>
  <si>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</si>
  <si>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</si>
  <si>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</si>
  <si>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</si>
  <si>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</si>
  <si>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</si>
  <si>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</si>
  <si>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</si>
  <si>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</si>
  <si>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</si>
  <si>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</si>
  <si>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</si>
  <si>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</si>
  <si>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</si>
  <si>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</si>
  <si>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</si>
  <si>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</si>
  <si>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</si>
  <si>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</si>
  <si>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</si>
  <si>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</si>
  <si>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</si>
  <si>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</si>
  <si>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</si>
  <si>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</si>
  <si>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</si>
  <si>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</si>
  <si>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</si>
  <si>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</si>
  <si>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</si>
  <si>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</si>
  <si>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</si>
  <si>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</si>
  <si>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</si>
  <si>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</si>
  <si>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</si>
  <si>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</si>
  <si>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</si>
  <si>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</si>
  <si>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</si>
  <si>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</si>
  <si>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</si>
  <si>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</si>
  <si>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</si>
  <si>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</si>
  <si>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</si>
  <si>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</si>
  <si>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</si>
  <si>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</si>
  <si>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</si>
  <si>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</si>
  <si>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</si>
  <si>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</si>
  <si>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</si>
  <si>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</si>
  <si>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</si>
  <si>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</si>
  <si>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</si>
  <si>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</si>
  <si>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</si>
  <si>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</si>
  <si>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</si>
  <si>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</si>
  <si>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</si>
  <si>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</si>
  <si>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</si>
  <si>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</si>
  <si>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</si>
  <si>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</si>
  <si>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</si>
  <si>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</si>
  <si>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</si>
  <si>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</si>
  <si>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</si>
  <si>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</si>
  <si>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</si>
  <si>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</si>
  <si>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</si>
  <si>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</si>
  <si>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</si>
  <si>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</si>
  <si>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</si>
  <si>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</si>
  <si>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</si>
  <si>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</si>
  <si>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</si>
  <si>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</si>
  <si>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</si>
  <si>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</si>
  <si>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</si>
  <si>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</si>
  <si>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</si>
  <si>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</si>
  <si>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</si>
  <si>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</si>
  <si>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</si>
  <si>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</si>
  <si>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</si>
  <si>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</si>
  <si>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</si>
  <si>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</si>
  <si>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</si>
  <si>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</si>
  <si>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</si>
  <si>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</si>
  <si>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</si>
  <si>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</si>
  <si>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</si>
  <si>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</si>
  <si>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</si>
  <si>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</si>
  <si>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</si>
  <si>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</si>
  <si>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</si>
  <si>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</si>
  <si>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</si>
  <si>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</si>
  <si>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</si>
  <si>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</si>
  <si>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</si>
  <si>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</si>
  <si>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</si>
  <si>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</si>
  <si>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</si>
  <si>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</si>
  <si>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</si>
  <si>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</si>
  <si>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</si>
  <si>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</si>
  <si>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</si>
  <si>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</si>
  <si>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</si>
  <si>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</si>
  <si>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</si>
  <si>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</si>
  <si>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</si>
  <si>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</si>
  <si>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</si>
  <si>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</si>
  <si>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</si>
  <si>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</si>
  <si>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</si>
  <si>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</si>
  <si>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</si>
  <si>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</si>
  <si>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</si>
  <si>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</si>
  <si>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</si>
  <si>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</si>
  <si>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</si>
  <si>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</si>
  <si>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</si>
  <si>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</si>
  <si>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</si>
  <si>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</si>
  <si>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</si>
  <si>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</si>
  <si>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</si>
  <si>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</si>
  <si>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</si>
  <si>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</si>
  <si>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</si>
  <si>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</si>
  <si>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</si>
  <si>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</si>
  <si>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</si>
  <si>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</si>
  <si>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</si>
  <si>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</si>
  <si>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</si>
  <si>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</si>
  <si>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</si>
  <si>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</si>
  <si>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</si>
  <si>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</si>
  <si>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</si>
  <si>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</si>
  <si>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</si>
  <si>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</si>
  <si>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</si>
  <si>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</si>
  <si>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</si>
  <si>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</si>
  <si>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</si>
  <si>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</si>
  <si>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</si>
  <si>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</si>
  <si>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</si>
  <si>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</si>
  <si>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</si>
  <si>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</si>
  <si>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</si>
  <si>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</si>
  <si>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</si>
  <si>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</si>
  <si>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</si>
  <si>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</si>
  <si>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</si>
  <si>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</si>
  <si>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</si>
  <si>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</si>
  <si>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</si>
  <si>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</si>
  <si>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</si>
  <si>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</si>
  <si>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</si>
  <si>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</si>
  <si>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</si>
  <si>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</si>
  <si>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</si>
  <si>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</si>
  <si>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</si>
  <si>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</si>
  <si>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</si>
  <si>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</si>
  <si>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</si>
  <si>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</si>
  <si>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</si>
  <si>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</si>
  <si>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</si>
  <si>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</si>
  <si>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</si>
  <si>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</si>
  <si>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</si>
  <si>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</si>
  <si>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</si>
  <si>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</si>
  <si>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</si>
  <si>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</si>
  <si>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</si>
  <si>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</si>
  <si>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</si>
  <si>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</si>
  <si>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</si>
  <si>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</si>
  <si>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</si>
  <si>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</si>
  <si>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</si>
  <si>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</si>
  <si>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</si>
  <si>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</si>
  <si>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</si>
  <si>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</si>
  <si>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</si>
  <si>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</si>
  <si>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</si>
  <si>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</si>
  <si>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</si>
  <si>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</si>
  <si>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</si>
  <si>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</si>
  <si>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</si>
  <si>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</si>
  <si>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</si>
  <si>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</si>
  <si>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</si>
  <si>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</si>
  <si>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</si>
  <si>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</si>
  <si>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</si>
  <si>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</si>
  <si>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</si>
  <si>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</si>
  <si>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</si>
  <si>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</si>
  <si>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</si>
  <si>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</si>
  <si>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</si>
  <si>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</si>
  <si>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</si>
  <si>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</si>
  <si>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</si>
  <si>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</si>
  <si>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</si>
  <si>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</si>
  <si>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</si>
  <si>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</si>
  <si>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</si>
  <si>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</si>
  <si>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</si>
  <si>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</si>
  <si>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</si>
  <si>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</si>
  <si>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</si>
  <si>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</si>
  <si>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</si>
  <si>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</si>
  <si>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</si>
  <si>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</si>
  <si>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</si>
  <si>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</si>
  <si>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</si>
  <si>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</si>
  <si>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</si>
  <si>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</si>
  <si>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</si>
  <si>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</si>
  <si>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</si>
  <si>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</si>
  <si>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</si>
  <si>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</si>
  <si>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</si>
  <si>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</si>
  <si>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</si>
  <si>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</si>
  <si>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</si>
  <si>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</si>
  <si>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</si>
  <si>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</si>
  <si>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</si>
  <si>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</si>
  <si>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</si>
  <si>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</si>
  <si>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</si>
  <si>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</si>
  <si>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</si>
  <si>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</si>
  <si>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</si>
  <si>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</si>
  <si>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</si>
  <si>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</si>
  <si>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</si>
  <si>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</si>
  <si>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</si>
  <si>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</si>
  <si>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</si>
  <si>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</si>
  <si>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</si>
  <si>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</si>
  <si>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</si>
  <si>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</si>
  <si>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</si>
  <si>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</si>
  <si>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</si>
  <si>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</si>
  <si>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</si>
  <si>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</si>
  <si>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</si>
  <si>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</si>
  <si>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</si>
  <si>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</si>
  <si>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</si>
  <si>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</si>
  <si>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</si>
  <si>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</si>
  <si>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</si>
  <si>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</si>
  <si>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</si>
  <si>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</si>
  <si>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</si>
  <si>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</si>
  <si>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</si>
  <si>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</si>
  <si>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</si>
  <si>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</si>
  <si>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</si>
  <si>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</si>
  <si>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</si>
  <si>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</si>
  <si>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</si>
  <si>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</si>
  <si>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</si>
  <si>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</si>
  <si>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</si>
  <si>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</si>
  <si>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</si>
  <si>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</si>
  <si>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</si>
  <si>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</si>
  <si>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</si>
  <si>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</si>
  <si>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</si>
  <si>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</si>
  <si>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</si>
  <si>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</si>
  <si>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</si>
  <si>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</si>
  <si>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</si>
  <si>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</si>
  <si>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</si>
  <si>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</si>
  <si>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</si>
  <si>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</si>
  <si>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</si>
  <si>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</si>
  <si>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</si>
  <si>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</si>
  <si>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</si>
  <si>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</si>
  <si>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</si>
  <si>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</si>
  <si>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</si>
  <si>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</si>
  <si>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</si>
  <si>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</si>
  <si>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</si>
  <si>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</si>
  <si>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</si>
  <si>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</si>
  <si>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</si>
  <si>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</si>
  <si>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</si>
  <si>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</si>
  <si>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</si>
  <si>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</si>
  <si>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</si>
  <si>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</si>
  <si>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</si>
  <si>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</si>
  <si>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</si>
  <si>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</si>
  <si>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</si>
  <si>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</si>
  <si>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</si>
  <si>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</si>
  <si>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</si>
  <si>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</si>
  <si>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</si>
  <si>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</si>
  <si>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</si>
  <si>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</si>
  <si>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</si>
  <si>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</si>
  <si>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</si>
  <si>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</si>
  <si>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</si>
  <si>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</si>
  <si>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</si>
  <si>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</si>
  <si>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</si>
  <si>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</si>
  <si>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</si>
  <si>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</si>
  <si>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</si>
  <si>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</si>
  <si>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</si>
  <si>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</si>
  <si>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</si>
  <si>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</si>
  <si>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</si>
  <si>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</si>
  <si>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</si>
  <si>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</si>
  <si>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</si>
  <si>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</si>
  <si>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</si>
  <si>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</si>
  <si>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</si>
  <si>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</si>
  <si>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</si>
  <si>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</si>
  <si>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</si>
  <si>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</si>
  <si>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</si>
  <si>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</si>
  <si>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</si>
  <si>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</si>
  <si>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</si>
  <si>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</si>
  <si>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</si>
  <si>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</si>
  <si>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</si>
  <si>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</si>
  <si>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</si>
  <si>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</si>
  <si>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</si>
  <si>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</si>
  <si>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</si>
  <si>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</si>
  <si>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</si>
  <si>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</si>
  <si>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</si>
  <si>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</si>
  <si>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</si>
  <si>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</si>
  <si>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</si>
  <si>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</si>
  <si>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</si>
  <si>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</si>
  <si>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</si>
  <si>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</si>
  <si>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</si>
  <si>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</si>
  <si>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</si>
  <si>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</si>
  <si>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</si>
  <si>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</si>
  <si>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</si>
  <si>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</si>
  <si>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</si>
  <si>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</si>
  <si>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</si>
  <si>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</si>
  <si>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</si>
  <si>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</si>
  <si>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</si>
  <si>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</si>
  <si>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</si>
  <si>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</si>
  <si>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</si>
  <si>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</si>
  <si>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</si>
  <si>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</si>
  <si>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</si>
  <si>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</si>
  <si>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</si>
  <si>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</si>
  <si>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</si>
  <si>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</si>
  <si>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</si>
  <si>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</si>
  <si>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</si>
  <si>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</si>
  <si>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</si>
  <si>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</si>
  <si>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</si>
  <si>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</si>
  <si>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</si>
  <si>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</si>
  <si>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</si>
  <si>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</si>
  <si>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</si>
  <si>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</si>
  <si>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</si>
  <si>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</si>
  <si>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</si>
  <si>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</si>
  <si>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</si>
  <si>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</si>
  <si>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</si>
  <si>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</si>
  <si>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</si>
  <si>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</si>
  <si>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</si>
  <si>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</si>
  <si>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</si>
  <si>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</si>
  <si>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</si>
  <si>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</si>
  <si>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</si>
  <si>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</si>
  <si>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</si>
  <si>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</si>
  <si>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</si>
  <si>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</si>
  <si>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</si>
  <si>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</si>
  <si>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</si>
  <si>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</si>
  <si>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</si>
  <si>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</si>
  <si>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</si>
  <si>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</si>
  <si>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</si>
  <si>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</si>
  <si>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</si>
  <si>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</si>
  <si>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</si>
  <si>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</si>
  <si>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</si>
  <si>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</si>
  <si>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</si>
  <si>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</si>
  <si>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</si>
  <si>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</si>
  <si>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</si>
  <si>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</si>
  <si>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</si>
  <si>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</si>
  <si>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</si>
  <si>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</si>
  <si>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</si>
  <si>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</si>
  <si>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</si>
  <si>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</si>
  <si>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</si>
  <si>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</si>
  <si>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</si>
  <si>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</si>
  <si>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</si>
  <si>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</si>
  <si>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</si>
  <si>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</si>
  <si>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</si>
  <si>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</si>
  <si>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</si>
  <si>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</si>
  <si>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</si>
  <si>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</si>
  <si>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</si>
  <si>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</si>
  <si>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</si>
  <si>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</si>
  <si>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</si>
  <si>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</si>
  <si>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</si>
  <si>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</si>
  <si>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</si>
  <si>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</si>
  <si>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</si>
  <si>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</si>
  <si>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</si>
  <si>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</si>
  <si>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</si>
  <si>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</si>
  <si>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</si>
  <si>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</si>
  <si>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</si>
  <si>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</si>
  <si>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</si>
  <si>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</si>
  <si>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</si>
  <si>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</si>
  <si>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</si>
  <si>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</si>
  <si>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</si>
  <si>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</si>
  <si>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</si>
  <si>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</si>
  <si>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</si>
  <si>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</si>
  <si>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</si>
  <si>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</si>
  <si>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</si>
  <si>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</si>
  <si>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</si>
  <si>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</si>
  <si>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</si>
  <si>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</si>
  <si>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</si>
  <si>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</si>
  <si>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</si>
  <si>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</si>
  <si>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</si>
  <si>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</si>
  <si>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</si>
  <si>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</si>
  <si>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</si>
  <si>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</si>
  <si>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</si>
  <si>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</si>
  <si>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</si>
  <si>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</si>
  <si>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</si>
  <si>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</si>
  <si>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</si>
  <si>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</si>
  <si>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</si>
  <si>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</si>
  <si>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</si>
  <si>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</si>
  <si>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</si>
  <si>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</si>
  <si>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</si>
  <si>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</si>
  <si>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</si>
  <si>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</si>
  <si>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</si>
  <si>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</si>
  <si>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</si>
  <si>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</si>
  <si>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</si>
  <si>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</si>
  <si>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</si>
  <si>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</si>
  <si>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</si>
  <si>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</si>
  <si>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</si>
  <si>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</si>
  <si>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</si>
  <si>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</si>
  <si>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</si>
  <si>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</si>
  <si>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</si>
  <si>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</si>
  <si>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</si>
  <si>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</si>
  <si>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</si>
  <si>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</si>
  <si>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</si>
  <si>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</si>
  <si>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</si>
  <si>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</si>
  <si>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</si>
  <si>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</si>
  <si>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</si>
  <si>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</si>
  <si>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</si>
  <si>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</si>
  <si>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</si>
  <si>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</si>
  <si>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</si>
  <si>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</si>
  <si>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</si>
  <si>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</si>
  <si>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</si>
  <si>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</si>
  <si>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</si>
  <si>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</si>
  <si>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</si>
  <si>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</si>
  <si>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</si>
  <si>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</si>
  <si>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</si>
  <si>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</si>
  <si>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</si>
  <si>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</si>
  <si>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</si>
  <si>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</si>
  <si>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</si>
  <si>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</si>
  <si>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</si>
  <si>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</si>
  <si>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</si>
  <si>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</si>
  <si>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</si>
  <si>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</si>
  <si>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</si>
  <si>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</si>
  <si>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</si>
  <si>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</si>
  <si>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</si>
  <si>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</si>
  <si>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</si>
  <si>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</si>
  <si>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</si>
  <si>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</si>
  <si>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</si>
  <si>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</si>
  <si>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</si>
  <si>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</si>
  <si>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</si>
  <si>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</si>
  <si>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</si>
  <si>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</si>
  <si>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</si>
  <si>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</si>
  <si>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</si>
  <si>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</si>
  <si>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</si>
  <si>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</si>
  <si>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</si>
  <si>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</si>
  <si>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</si>
  <si>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</si>
  <si>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</si>
  <si>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</si>
  <si>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</si>
  <si>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</si>
  <si>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</si>
  <si>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</si>
  <si>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</si>
  <si>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</si>
  <si>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</si>
  <si>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</si>
  <si>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</si>
  <si>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</si>
  <si>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</si>
  <si>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</si>
  <si>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</si>
  <si>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</si>
  <si>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</si>
  <si>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</si>
  <si>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</si>
  <si>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</si>
  <si>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</si>
  <si>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</si>
  <si>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</si>
  <si>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</si>
  <si>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</si>
  <si>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</si>
  <si>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</si>
  <si>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</si>
  <si>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</si>
  <si>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</si>
  <si>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</si>
  <si>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</si>
  <si>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</si>
  <si>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</si>
  <si>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</si>
  <si>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</si>
  <si>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</si>
  <si>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</si>
  <si>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</si>
  <si>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</si>
  <si>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</si>
  <si>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</si>
  <si>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</si>
  <si>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</si>
  <si>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</si>
  <si>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</si>
  <si>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</si>
  <si>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</si>
  <si>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</si>
  <si>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</si>
  <si>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</si>
  <si>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</si>
  <si>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</si>
  <si>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</si>
  <si>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</si>
  <si>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</si>
  <si>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</si>
  <si>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</si>
  <si>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</si>
  <si>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</si>
  <si>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</si>
  <si>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</si>
  <si>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</si>
  <si>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</si>
  <si>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</si>
  <si>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</si>
  <si>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</si>
  <si>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</si>
  <si>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</si>
  <si>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</si>
  <si>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</si>
  <si>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</si>
  <si>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</si>
  <si>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</si>
  <si>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</si>
  <si>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</si>
  <si>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</si>
  <si>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</si>
  <si>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</si>
  <si>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</si>
  <si>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</si>
  <si>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</si>
  <si>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</si>
  <si>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</si>
  <si>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5*rating</t>
  </si>
  <si>
    <t>Happy callers</t>
  </si>
  <si>
    <t>Row Labels</t>
  </si>
  <si>
    <t>Grand Total</t>
  </si>
  <si>
    <t>Friday</t>
  </si>
  <si>
    <t>Monday</t>
  </si>
  <si>
    <t>Saturday</t>
  </si>
  <si>
    <t>Sunday</t>
  </si>
  <si>
    <t>Thursday</t>
  </si>
  <si>
    <t>Tuesday</t>
  </si>
  <si>
    <t>Wednesday</t>
  </si>
  <si>
    <t>Column Labels</t>
  </si>
  <si>
    <t>Jan</t>
  </si>
  <si>
    <t>Feb</t>
  </si>
  <si>
    <t>Mar</t>
  </si>
  <si>
    <t>Apr</t>
  </si>
  <si>
    <t>May</t>
  </si>
  <si>
    <t>Jun</t>
  </si>
  <si>
    <t>Jul</t>
  </si>
  <si>
    <t>Aug</t>
  </si>
  <si>
    <t>Sep</t>
  </si>
  <si>
    <t>Oct</t>
  </si>
  <si>
    <t>Nov</t>
  </si>
  <si>
    <t>Dec</t>
  </si>
  <si>
    <t>Call count2</t>
  </si>
  <si>
    <t>for graph</t>
  </si>
  <si>
    <t>rep</t>
  </si>
  <si>
    <t>calls</t>
  </si>
  <si>
    <t>amount</t>
  </si>
  <si>
    <t>sel.call</t>
  </si>
  <si>
    <t>sel.amount</t>
  </si>
  <si>
    <t>selected rep</t>
  </si>
  <si>
    <t>Gender</t>
  </si>
  <si>
    <t>rep summary</t>
  </si>
  <si>
    <t>%of calls</t>
  </si>
  <si>
    <t>call rank</t>
  </si>
  <si>
    <t xml:space="preserve">calls </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</si>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</sst>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1"/>
      <color theme="0" tint="-0.49998474074526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9680F"/>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4" tint="0.39997558519241921"/>
      </bottom>
      <diagonal/>
    </border>
    <border>
      <left/>
      <right style="thin">
        <color theme="1" tint="0.499984740745262"/>
      </right>
      <top/>
      <bottom style="thin">
        <color theme="4" tint="0.39997558519241921"/>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0" fontId="0" fillId="4" borderId="0" xfId="0" applyFill="1" applyAlignment="1">
      <alignment horizontal="left"/>
    </xf>
    <xf numFmtId="0" fontId="0" fillId="0" borderId="0" xfId="0" applyNumberFormat="1"/>
    <xf numFmtId="0" fontId="0" fillId="5" borderId="11" xfId="0" applyFill="1" applyBorder="1"/>
    <xf numFmtId="0" fontId="0" fillId="5" borderId="12" xfId="0" applyFill="1" applyBorder="1"/>
    <xf numFmtId="0" fontId="0" fillId="5" borderId="13" xfId="0" applyFill="1" applyBorder="1"/>
    <xf numFmtId="0" fontId="1" fillId="5" borderId="14" xfId="0" applyFont="1" applyFill="1" applyBorder="1" applyAlignment="1">
      <alignment horizontal="left"/>
    </xf>
    <xf numFmtId="0" fontId="1" fillId="5" borderId="10" xfId="0" applyNumberFormat="1" applyFont="1" applyFill="1" applyBorder="1"/>
    <xf numFmtId="0" fontId="1" fillId="5" borderId="15" xfId="0" applyNumberFormat="1" applyFont="1" applyFill="1" applyBorder="1"/>
    <xf numFmtId="0" fontId="0" fillId="5" borderId="16" xfId="0" applyFill="1" applyBorder="1" applyAlignment="1">
      <alignment horizontal="left" indent="1"/>
    </xf>
    <xf numFmtId="165" fontId="0" fillId="5" borderId="0" xfId="0" applyNumberFormat="1" applyFill="1" applyBorder="1"/>
    <xf numFmtId="165" fontId="0" fillId="5" borderId="17" xfId="0" applyNumberFormat="1" applyFill="1" applyBorder="1"/>
    <xf numFmtId="0" fontId="0" fillId="5" borderId="18" xfId="0" applyFill="1" applyBorder="1" applyAlignment="1">
      <alignment horizontal="left" indent="1"/>
    </xf>
    <xf numFmtId="165" fontId="0" fillId="5" borderId="19" xfId="0" applyNumberFormat="1" applyFill="1" applyBorder="1"/>
    <xf numFmtId="165" fontId="0" fillId="5" borderId="20" xfId="0" applyNumberFormat="1" applyFill="1" applyBorder="1"/>
    <xf numFmtId="9" fontId="0" fillId="0" borderId="0" xfId="1" applyFont="1"/>
    <xf numFmtId="0" fontId="5" fillId="3" borderId="0" xfId="0" applyFont="1" applyFill="1" applyAlignment="1">
      <alignment horizontal="center"/>
    </xf>
  </cellXfs>
  <cellStyles count="2">
    <cellStyle name="Normal" xfId="0" builtinId="0"/>
    <cellStyle name="Percent" xfId="1" builtinId="5"/>
  </cellStyles>
  <dxfs count="35">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bgColor rgb="FFF08510"/>
        </patternFill>
      </fill>
      <border>
        <left style="thin">
          <color theme="1"/>
        </left>
        <right style="thin">
          <color theme="1"/>
        </right>
        <vertical/>
        <horizontal/>
      </border>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ill>
        <patternFill patternType="solid">
          <bgColor rgb="FFF9680F"/>
        </patternFill>
      </fill>
    </dxf>
    <dxf>
      <font>
        <b/>
        <color theme="1"/>
      </font>
      <border>
        <bottom style="thin">
          <color theme="6"/>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4"/>
    </tableStyle>
    <tableStyle name="SlicerStyleLight3 2" pivot="0" table="0" count="10" xr9:uid="{75488CBE-0292-4CF2-B136-9506C8CD741A}">
      <tableStyleElement type="wholeTable" dxfId="19"/>
      <tableStyleElement type="headerRow" dxfId="18"/>
    </tableStyle>
  </tableStyles>
  <colors>
    <mruColors>
      <color rgb="FFF08510"/>
      <color rgb="FFFF6600"/>
      <color rgb="FFFF9900"/>
      <color rgb="FFF06A18"/>
      <color rgb="FFF9680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[excel-portfolio-project.xlsx]pivot!Weekly Trend</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6A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pivot!$F$11</c:f>
              <c:strCache>
                <c:ptCount val="1"/>
                <c:pt idx="0">
                  <c:v>Total</c:v>
                </c:pt>
              </c:strCache>
            </c:strRef>
          </c:tx>
          <c:spPr>
            <a:solidFill>
              <a:srgbClr val="F06A18"/>
            </a:solidFill>
            <a:ln>
              <a:noFill/>
            </a:ln>
            <a:effectLst/>
          </c:spPr>
          <c:invertIfNegative val="0"/>
          <c:cat>
            <c:strRef>
              <c:f>pivot!$E$12:$E$19</c:f>
              <c:strCache>
                <c:ptCount val="7"/>
                <c:pt idx="0">
                  <c:v>Sunday</c:v>
                </c:pt>
                <c:pt idx="1">
                  <c:v>Monday</c:v>
                </c:pt>
                <c:pt idx="2">
                  <c:v>Tuesday</c:v>
                </c:pt>
                <c:pt idx="3">
                  <c:v>Wednesday</c:v>
                </c:pt>
                <c:pt idx="4">
                  <c:v>Thursday</c:v>
                </c:pt>
                <c:pt idx="5">
                  <c:v>Friday</c:v>
                </c:pt>
                <c:pt idx="6">
                  <c:v>Saturday</c:v>
                </c:pt>
              </c:strCache>
            </c:strRef>
          </c:cat>
          <c:val>
            <c:numRef>
              <c:f>pivot!$F$12:$F$19</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EFFA-4923-BF4C-6A6F52C046D9}"/>
            </c:ext>
          </c:extLst>
        </c:ser>
        <c:dLbls>
          <c:showLegendKey val="0"/>
          <c:showVal val="0"/>
          <c:showCatName val="0"/>
          <c:showSerName val="0"/>
          <c:showPercent val="0"/>
          <c:showBubbleSize val="0"/>
        </c:dLbls>
        <c:gapWidth val="25"/>
        <c:axId val="1513303904"/>
        <c:axId val="1513306304"/>
      </c:barChart>
      <c:catAx>
        <c:axId val="151330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06304"/>
        <c:crosses val="autoZero"/>
        <c:auto val="1"/>
        <c:lblAlgn val="ctr"/>
        <c:lblOffset val="100"/>
        <c:noMultiLvlLbl val="0"/>
      </c:catAx>
      <c:valAx>
        <c:axId val="1513306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[excel-portfolio-project.xlsx]pivot!Monthly 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chemeClr val="bg1"/>
            </a:solidFill>
            <a:ln w="9525">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0000"/>
              </a:gs>
              <a:gs pos="100000">
                <a:srgbClr val="FF0000"/>
              </a:gs>
              <a:gs pos="100000">
                <a:srgbClr val="FF0000"/>
              </a:gs>
            </a:gsLst>
            <a:lin ang="5400000" scaled="1"/>
          </a:gradFill>
          <a:ln>
            <a:solidFill>
              <a:schemeClr val="tx1">
                <a:lumMod val="75000"/>
                <a:lumOff val="2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rgbClr val="FF0000"/>
              </a:gs>
              <a:gs pos="100000">
                <a:srgbClr val="FF0000"/>
              </a:gs>
            </a:gsLst>
            <a:lin ang="5400000" scaled="1"/>
          </a:gradFill>
          <a:ln>
            <a:solidFill>
              <a:schemeClr val="tx1">
                <a:lumMod val="75000"/>
                <a:lumOff val="2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bg1"/>
            </a:solidFill>
            <a:ln w="9525">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100000">
                <a:srgbClr val="FF0000"/>
              </a:gs>
              <a:gs pos="100000">
                <a:srgbClr val="FF0000"/>
              </a:gs>
            </a:gsLst>
            <a:lin ang="5400000" scaled="1"/>
          </a:gradFill>
          <a:ln>
            <a:solidFill>
              <a:schemeClr val="tx1">
                <a:lumMod val="75000"/>
                <a:lumOff val="2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circle"/>
          <c:size val="5"/>
          <c:spPr>
            <a:solidFill>
              <a:schemeClr val="bg1"/>
            </a:solidFill>
            <a:ln w="9525">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pivot!$C$11</c:f>
              <c:strCache>
                <c:ptCount val="1"/>
                <c:pt idx="0">
                  <c:v>Call count2</c:v>
                </c:pt>
              </c:strCache>
            </c:strRef>
          </c:tx>
          <c:spPr>
            <a:gradFill>
              <a:gsLst>
                <a:gs pos="0">
                  <a:srgbClr val="FF0000"/>
                </a:gs>
                <a:gs pos="100000">
                  <a:srgbClr val="FF0000"/>
                </a:gs>
                <a:gs pos="100000">
                  <a:srgbClr val="FF0000"/>
                </a:gs>
              </a:gsLst>
              <a:lin ang="5400000" scaled="1"/>
            </a:gradFill>
            <a:ln>
              <a:solidFill>
                <a:schemeClr val="tx1">
                  <a:lumMod val="75000"/>
                  <a:lumOff val="25000"/>
                  <a:alpha val="89000"/>
                </a:schemeClr>
              </a:solidFill>
            </a:ln>
            <a:effectLst/>
          </c:spP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92BB-4486-9A07-CE11AD33B9CE}"/>
            </c:ext>
          </c:extLst>
        </c:ser>
        <c:dLbls>
          <c:showLegendKey val="0"/>
          <c:showVal val="0"/>
          <c:showCatName val="0"/>
          <c:showSerName val="0"/>
          <c:showPercent val="0"/>
          <c:showBubbleSize val="0"/>
        </c:dLbls>
        <c:axId val="474884352"/>
        <c:axId val="474878592"/>
      </c:areaChart>
      <c:lineChart>
        <c:grouping val="standard"/>
        <c:varyColors val="0"/>
        <c:ser>
          <c:idx val="0"/>
          <c:order val="0"/>
          <c:tx>
            <c:strRef>
              <c:f>pivot!$B$11</c:f>
              <c:strCache>
                <c:ptCount val="1"/>
                <c:pt idx="0">
                  <c:v>Call count</c:v>
                </c:pt>
              </c:strCache>
            </c:strRef>
          </c:tx>
          <c:spPr>
            <a:ln w="28575" cap="rnd">
              <a:solidFill>
                <a:schemeClr val="bg1"/>
              </a:solidFill>
              <a:round/>
            </a:ln>
            <a:effectLst/>
          </c:spPr>
          <c:marker>
            <c:symbol val="circle"/>
            <c:size val="5"/>
            <c:spPr>
              <a:solidFill>
                <a:schemeClr val="bg1"/>
              </a:solidFill>
              <a:ln w="9525">
                <a:solidFill>
                  <a:schemeClr val="tx1">
                    <a:lumMod val="75000"/>
                    <a:lumOff val="25000"/>
                  </a:schemeClr>
                </a:solidFill>
              </a:ln>
              <a:effectLst/>
            </c:spPr>
          </c:marke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pivot!$B$12:$B$24</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92BB-4486-9A07-CE11AD33B9CE}"/>
            </c:ext>
          </c:extLst>
        </c:ser>
        <c:dLbls>
          <c:showLegendKey val="0"/>
          <c:showVal val="0"/>
          <c:showCatName val="0"/>
          <c:showSerName val="0"/>
          <c:showPercent val="0"/>
          <c:showBubbleSize val="0"/>
        </c:dLbls>
        <c:marker val="1"/>
        <c:smooth val="0"/>
        <c:axId val="474884352"/>
        <c:axId val="474878592"/>
      </c:lineChart>
      <c:catAx>
        <c:axId val="4748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78592"/>
        <c:crosses val="autoZero"/>
        <c:auto val="1"/>
        <c:lblAlgn val="ctr"/>
        <c:lblOffset val="100"/>
        <c:noMultiLvlLbl val="0"/>
      </c:catAx>
      <c:valAx>
        <c:axId val="474878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84352"/>
        <c:crosses val="autoZero"/>
        <c:crossBetween val="between"/>
      </c:valAx>
      <c:spPr>
        <a:noFill/>
        <a:ln>
          <a:solidFill>
            <a:schemeClr val="tx1">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solidFill>
                <a:schemeClr val="tx1">
                  <a:lumMod val="15000"/>
                  <a:lumOff val="85000"/>
                  <a:alpha val="7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pivot!$E$29:$E$33</c:f>
              <c:strCache>
                <c:ptCount val="5"/>
                <c:pt idx="0">
                  <c:v>R01</c:v>
                </c:pt>
                <c:pt idx="1">
                  <c:v>R02</c:v>
                </c:pt>
                <c:pt idx="2">
                  <c:v>R03</c:v>
                </c:pt>
                <c:pt idx="3">
                  <c:v>R04</c:v>
                </c:pt>
                <c:pt idx="4">
                  <c:v>R05</c:v>
                </c:pt>
              </c:strCache>
            </c:strRef>
          </c:cat>
          <c:val>
            <c:numRef>
              <c:f>pivot!$F$29:$F$33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EB1-4392-925E-585F5E7E726D}"/>
            </c:ext>
          </c:extLst>
        </c:ser>
        <c:ser>
          <c:idx val="1"/>
          <c:order val="1"/>
          <c:tx>
            <c:strRef>
              <c:f>pivot!$H$28</c:f>
              <c:strCache>
                <c:ptCount val="1"/>
                <c:pt idx="0">
                  <c:v>sel.call</c:v>
                </c:pt>
              </c:strCache>
            </c:strRef>
          </c:tx>
          <c:spPr>
            <a:gradFill>
              <a:gsLst>
                <a:gs pos="0">
                  <a:srgbClr val="FF0000"/>
                </a:gs>
                <a:gs pos="100000">
                  <a:srgbClr val="FF0000"/>
                </a:gs>
                <a:gs pos="100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pivot!$H$29:$H$33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FEB1-4392-925E-585F5E7E726D}"/>
            </c:ext>
          </c:extLst>
        </c:ser>
        <c:dLbls>
          <c:dLblPos val="outEnd"/>
          <c:showLegendKey val="0"/>
          <c:showVal val="1"/>
          <c:showCatName val="0"/>
          <c:showSerName val="0"/>
          <c:showPercent val="0"/>
          <c:showBubbleSize val="0"/>
        </c:dLbls>
        <c:gapWidth val="25"/>
        <c:overlap val="100"/>
        <c:axId val="533450848"/>
        <c:axId val="533451808"/>
      </c:barChart>
      <c:catAx>
        <c:axId val="533450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51808"/>
        <c:crosses val="autoZero"/>
        <c:auto val="1"/>
        <c:lblAlgn val="ctr"/>
        <c:lblOffset val="100"/>
        <c:noMultiLvlLbl val="0"/>
      </c:catAx>
      <c:valAx>
        <c:axId val="533451808"/>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34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pivot!$E$29:$E$33</c:f>
              <c:strCache>
                <c:ptCount val="5"/>
                <c:pt idx="0">
                  <c:v>R01</c:v>
                </c:pt>
                <c:pt idx="1">
                  <c:v>R02</c:v>
                </c:pt>
                <c:pt idx="2">
                  <c:v>R03</c:v>
                </c:pt>
                <c:pt idx="3">
                  <c:v>R04</c:v>
                </c:pt>
                <c:pt idx="4">
                  <c:v>R05</c:v>
                </c:pt>
              </c:strCache>
            </c:strRef>
          </c:cat>
          <c:val>
            <c:numRef>
              <c:f>pivot!$G$29:$G$33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81B-43EC-992D-6402F8DE1D6D}"/>
            </c:ext>
          </c:extLst>
        </c:ser>
        <c:ser>
          <c:idx val="1"/>
          <c:order val="1"/>
          <c:tx>
            <c:strRef>
              <c:f>pivot!$I$28</c:f>
              <c:strCache>
                <c:ptCount val="1"/>
                <c:pt idx="0">
                  <c:v>sel.amount</c:v>
                </c:pt>
              </c:strCache>
            </c:strRef>
          </c:tx>
          <c:spPr>
            <a:gradFill>
              <a:gsLst>
                <a:gs pos="0">
                  <a:srgbClr val="F06A18"/>
                </a:gs>
                <a:gs pos="100000">
                  <a:srgbClr val="FF0000"/>
                </a:gs>
                <a:gs pos="100000">
                  <a:srgbClr val="FB1C06"/>
                </a:gs>
                <a:gs pos="100000">
                  <a:srgbClr val="F06A18"/>
                </a:gs>
                <a:gs pos="0">
                  <a:srgbClr val="F9680F"/>
                </a:gs>
                <a:gs pos="100000">
                  <a:srgbClr val="FC1705"/>
                </a:gs>
                <a:gs pos="100000">
                  <a:srgbClr val="F06A18"/>
                </a:gs>
                <a:gs pos="100000">
                  <a:srgbClr val="F9680F"/>
                </a:gs>
              </a:gsLst>
              <a:lin ang="5400000" scaled="1"/>
            </a:gradFill>
            <a:ln>
              <a:noFill/>
            </a:ln>
            <a:effectLst/>
          </c:spPr>
          <c:invertIfNegative val="0"/>
          <c:dLbls>
            <c:delete val="1"/>
          </c:dLbls>
          <c:val>
            <c:numRef>
              <c:f>pivot!$I$29:$I$33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781B-43EC-992D-6402F8DE1D6D}"/>
            </c:ext>
          </c:extLst>
        </c:ser>
        <c:dLbls>
          <c:dLblPos val="outEnd"/>
          <c:showLegendKey val="0"/>
          <c:showVal val="1"/>
          <c:showCatName val="0"/>
          <c:showSerName val="0"/>
          <c:showPercent val="0"/>
          <c:showBubbleSize val="0"/>
        </c:dLbls>
        <c:gapWidth val="25"/>
        <c:overlap val="100"/>
        <c:axId val="1400651680"/>
        <c:axId val="1400652640"/>
      </c:barChart>
      <c:catAx>
        <c:axId val="1400651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52640"/>
        <c:crosses val="autoZero"/>
        <c:auto val="1"/>
        <c:lblAlgn val="ctr"/>
        <c:lblOffset val="100"/>
        <c:noMultiLvlLbl val="0"/>
      </c:catAx>
      <c:valAx>
        <c:axId val="1400652640"/>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4006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F06A18"/>
                </a:solidFill>
              </a:rPr>
              <a:t>Female</a:t>
            </a:r>
            <a:r>
              <a:rPr lang="en-IN" sz="1200"/>
              <a:t> vs</a:t>
            </a:r>
            <a:r>
              <a:rPr lang="en-IN" sz="1200" baseline="0"/>
              <a:t> </a:t>
            </a:r>
            <a:r>
              <a:rPr lang="en-IN" sz="1200" baseline="0">
                <a:solidFill>
                  <a:schemeClr val="accent6">
                    <a:lumMod val="75000"/>
                  </a:schemeClr>
                </a:solidFill>
              </a:rPr>
              <a:t>Male</a:t>
            </a:r>
            <a:r>
              <a:rPr lang="en-IN" sz="1200" baseline="0"/>
              <a:t> Callers</a:t>
            </a:r>
            <a:endParaRPr lang="en-IN" sz="1200"/>
          </a:p>
        </c:rich>
      </c:tx>
      <c:layout>
        <c:manualLayout>
          <c:xMode val="edge"/>
          <c:yMode val="edge"/>
          <c:x val="0.11775579656954961"/>
          <c:y val="4.4958855567021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9680F">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pivot!$B$50:$B$51</c:f>
              <c:strCache>
                <c:ptCount val="1"/>
                <c:pt idx="0">
                  <c:v>Female</c:v>
                </c:pt>
              </c:strCache>
            </c:strRef>
          </c:tx>
          <c:spPr>
            <a:solidFill>
              <a:srgbClr val="F9680F">
                <a:alpha val="90000"/>
              </a:srgbClr>
            </a:solidFill>
            <a:ln>
              <a:noFill/>
            </a:ln>
            <a:effectLst/>
          </c:spPr>
          <c:invertIfNegative val="0"/>
          <c:cat>
            <c:strRef>
              <c:f>pivot!$A$52:$A$55</c:f>
              <c:strCache>
                <c:ptCount val="3"/>
                <c:pt idx="0">
                  <c:v>Cincinnati</c:v>
                </c:pt>
                <c:pt idx="1">
                  <c:v>Cleveland</c:v>
                </c:pt>
                <c:pt idx="2">
                  <c:v>Columbus</c:v>
                </c:pt>
              </c:strCache>
            </c:strRef>
          </c:cat>
          <c:val>
            <c:numRef>
              <c:f>pivot!$B$52:$B$55</c:f>
              <c:numCache>
                <c:formatCode>#,##0</c:formatCode>
                <c:ptCount val="3"/>
                <c:pt idx="0">
                  <c:v>144</c:v>
                </c:pt>
                <c:pt idx="1">
                  <c:v>326</c:v>
                </c:pt>
                <c:pt idx="2">
                  <c:v>129</c:v>
                </c:pt>
              </c:numCache>
            </c:numRef>
          </c:val>
          <c:extLst>
            <c:ext xmlns:c16="http://schemas.microsoft.com/office/drawing/2014/chart" uri="{C3380CC4-5D6E-409C-BE32-E72D297353CC}">
              <c16:uniqueId val="{00000000-C084-4C8C-ACCC-611E54CFEE86}"/>
            </c:ext>
          </c:extLst>
        </c:ser>
        <c:ser>
          <c:idx val="1"/>
          <c:order val="1"/>
          <c:tx>
            <c:strRef>
              <c:f>pivot!$C$50:$C$51</c:f>
              <c:strCache>
                <c:ptCount val="1"/>
                <c:pt idx="0">
                  <c:v>Male</c:v>
                </c:pt>
              </c:strCache>
            </c:strRef>
          </c:tx>
          <c:spPr>
            <a:solidFill>
              <a:schemeClr val="accent6">
                <a:lumMod val="75000"/>
                <a:alpha val="90000"/>
              </a:schemeClr>
            </a:solidFill>
            <a:ln>
              <a:noFill/>
            </a:ln>
            <a:effectLst/>
          </c:spPr>
          <c:invertIfNegative val="0"/>
          <c:cat>
            <c:strRef>
              <c:f>pivot!$A$52:$A$55</c:f>
              <c:strCache>
                <c:ptCount val="3"/>
                <c:pt idx="0">
                  <c:v>Cincinnati</c:v>
                </c:pt>
                <c:pt idx="1">
                  <c:v>Cleveland</c:v>
                </c:pt>
                <c:pt idx="2">
                  <c:v>Columbus</c:v>
                </c:pt>
              </c:strCache>
            </c:strRef>
          </c:cat>
          <c:val>
            <c:numRef>
              <c:f>pivot!$C$52:$C$55</c:f>
              <c:numCache>
                <c:formatCode>#,##0</c:formatCode>
                <c:ptCount val="3"/>
                <c:pt idx="0">
                  <c:v>132</c:v>
                </c:pt>
                <c:pt idx="1">
                  <c:v>63</c:v>
                </c:pt>
                <c:pt idx="2">
                  <c:v>206</c:v>
                </c:pt>
              </c:numCache>
            </c:numRef>
          </c:val>
          <c:extLst>
            <c:ext xmlns:c16="http://schemas.microsoft.com/office/drawing/2014/chart" uri="{C3380CC4-5D6E-409C-BE32-E72D297353CC}">
              <c16:uniqueId val="{00000001-C084-4C8C-ACCC-611E54CFEE86}"/>
            </c:ext>
          </c:extLst>
        </c:ser>
        <c:dLbls>
          <c:showLegendKey val="0"/>
          <c:showVal val="0"/>
          <c:showCatName val="0"/>
          <c:showSerName val="0"/>
          <c:showPercent val="0"/>
          <c:showBubbleSize val="0"/>
        </c:dLbls>
        <c:gapWidth val="25"/>
        <c:overlap val="100"/>
        <c:axId val="1398794128"/>
        <c:axId val="1398794608"/>
      </c:barChart>
      <c:catAx>
        <c:axId val="139879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94608"/>
        <c:crosses val="autoZero"/>
        <c:auto val="1"/>
        <c:lblAlgn val="ctr"/>
        <c:lblOffset val="100"/>
        <c:noMultiLvlLbl val="0"/>
      </c:catAx>
      <c:valAx>
        <c:axId val="1398794608"/>
        <c:scaling>
          <c:orientation val="minMax"/>
        </c:scaling>
        <c:delete val="1"/>
        <c:axPos val="l"/>
        <c:numFmt formatCode="0%" sourceLinked="1"/>
        <c:majorTickMark val="out"/>
        <c:minorTickMark val="none"/>
        <c:tickLblPos val="nextTo"/>
        <c:crossAx val="139879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[excel-portfolio-project.xlsx]pivot!rep satisfaction</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pivot!$B$59</c:f>
              <c:strCache>
                <c:ptCount val="1"/>
                <c:pt idx="0">
                  <c:v>Total</c:v>
                </c:pt>
              </c:strCache>
            </c:strRef>
          </c:tx>
          <c:spPr>
            <a:solidFill>
              <a:schemeClr val="accent1">
                <a:lumMod val="50000"/>
              </a:schemeClr>
            </a:solidFill>
            <a:ln>
              <a:noFill/>
            </a:ln>
            <a:effectLst/>
          </c:spPr>
          <c:invertIfNegative val="0"/>
          <c:cat>
            <c:strRef>
              <c:f>pivot!$A$60:$A$66</c:f>
              <c:strCache>
                <c:ptCount val="6"/>
                <c:pt idx="0">
                  <c:v>0</c:v>
                </c:pt>
                <c:pt idx="1">
                  <c:v>1</c:v>
                </c:pt>
                <c:pt idx="2">
                  <c:v>2</c:v>
                </c:pt>
                <c:pt idx="3">
                  <c:v>3</c:v>
                </c:pt>
                <c:pt idx="4">
                  <c:v>4</c:v>
                </c:pt>
                <c:pt idx="5">
                  <c:v>5</c:v>
                </c:pt>
              </c:strCache>
            </c:strRef>
          </c:cat>
          <c:val>
            <c:numRef>
              <c:f>pivot!$B$60:$B$66</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B3D6-4744-B60E-F16ACB127316}"/>
            </c:ext>
          </c:extLst>
        </c:ser>
        <c:dLbls>
          <c:showLegendKey val="0"/>
          <c:showVal val="0"/>
          <c:showCatName val="0"/>
          <c:showSerName val="0"/>
          <c:showPercent val="0"/>
          <c:showBubbleSize val="0"/>
        </c:dLbls>
        <c:gapWidth val="10"/>
        <c:overlap val="-27"/>
        <c:axId val="1420911488"/>
        <c:axId val="1420904288"/>
      </c:barChart>
      <c:catAx>
        <c:axId val="14209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904288"/>
        <c:crosses val="autoZero"/>
        <c:auto val="1"/>
        <c:lblAlgn val="ctr"/>
        <c:lblOffset val="100"/>
        <c:noMultiLvlLbl val="0"/>
      </c:catAx>
      <c:valAx>
        <c:axId val="1420904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91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14564</xdr:colOff>
      <xdr:row>2</xdr:row>
      <xdr:rowOff>183490</xdr:rowOff>
    </xdr:from>
    <xdr:to>
      <xdr:col>4</xdr:col>
      <xdr:colOff>26214</xdr:colOff>
      <xdr:row>7</xdr:row>
      <xdr:rowOff>192228</xdr:rowOff>
    </xdr:to>
    <xdr:sp macro="" textlink="pivot!A4">
      <xdr:nvSpPr>
        <xdr:cNvPr id="3" name="Rectangle 2">
          <a:extLst>
            <a:ext uri="{FF2B5EF4-FFF2-40B4-BE49-F238E27FC236}">
              <a16:creationId xmlns:a16="http://schemas.microsoft.com/office/drawing/2014/main" id="{D6AE9785-93D1-0EC7-55FC-F626749BA816}"/>
            </a:ext>
          </a:extLst>
        </xdr:cNvPr>
        <xdr:cNvSpPr/>
      </xdr:nvSpPr>
      <xdr:spPr>
        <a:xfrm>
          <a:off x="483487" y="570862"/>
          <a:ext cx="1418419" cy="97716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AF5DC9-C46E-4F27-A99F-5FECEB16DD1D}" type="TxLink">
            <a:rPr lang="en-US" sz="2000" b="0" i="0" u="none" strike="noStrike">
              <a:solidFill>
                <a:schemeClr val="bg1"/>
              </a:solidFill>
              <a:latin typeface="Aptos"/>
            </a:rPr>
            <a:pPr algn="ctr"/>
            <a:t>1,000</a:t>
          </a:fld>
          <a:endParaRPr lang="en-IN" sz="2000">
            <a:solidFill>
              <a:schemeClr val="bg1"/>
            </a:solidFill>
          </a:endParaRPr>
        </a:p>
      </xdr:txBody>
    </xdr:sp>
    <xdr:clientData/>
  </xdr:twoCellAnchor>
  <xdr:twoCellAnchor>
    <xdr:from>
      <xdr:col>2</xdr:col>
      <xdr:colOff>454360</xdr:colOff>
      <xdr:row>3</xdr:row>
      <xdr:rowOff>120871</xdr:rowOff>
    </xdr:from>
    <xdr:to>
      <xdr:col>3</xdr:col>
      <xdr:colOff>436886</xdr:colOff>
      <xdr:row>4</xdr:row>
      <xdr:rowOff>103396</xdr:rowOff>
    </xdr:to>
    <xdr:sp macro="" textlink="">
      <xdr:nvSpPr>
        <xdr:cNvPr id="4" name="TextBox 3">
          <a:extLst>
            <a:ext uri="{FF2B5EF4-FFF2-40B4-BE49-F238E27FC236}">
              <a16:creationId xmlns:a16="http://schemas.microsoft.com/office/drawing/2014/main" id="{4AFECAE1-E5D2-B0D8-5042-E4C786E1391A}"/>
            </a:ext>
          </a:extLst>
        </xdr:cNvPr>
        <xdr:cNvSpPr txBox="1"/>
      </xdr:nvSpPr>
      <xdr:spPr>
        <a:xfrm>
          <a:off x="923283" y="701927"/>
          <a:ext cx="685911" cy="17621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Calls</a:t>
          </a:r>
        </a:p>
        <a:p>
          <a:endParaRPr lang="en-IN" sz="1100"/>
        </a:p>
      </xdr:txBody>
    </xdr:sp>
    <xdr:clientData/>
  </xdr:twoCellAnchor>
  <xdr:twoCellAnchor editAs="oneCell">
    <xdr:from>
      <xdr:col>2</xdr:col>
      <xdr:colOff>221356</xdr:colOff>
      <xdr:row>3</xdr:row>
      <xdr:rowOff>123784</xdr:rowOff>
    </xdr:from>
    <xdr:to>
      <xdr:col>2</xdr:col>
      <xdr:colOff>410722</xdr:colOff>
      <xdr:row>4</xdr:row>
      <xdr:rowOff>123783</xdr:rowOff>
    </xdr:to>
    <xdr:pic>
      <xdr:nvPicPr>
        <xdr:cNvPr id="5" name="Graphic 4" descr="Receiver with solid fill">
          <a:extLst>
            <a:ext uri="{FF2B5EF4-FFF2-40B4-BE49-F238E27FC236}">
              <a16:creationId xmlns:a16="http://schemas.microsoft.com/office/drawing/2014/main" id="{2E61E46C-556B-4367-9162-500FD93B67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0279" y="704840"/>
          <a:ext cx="189366" cy="193685"/>
        </a:xfrm>
        <a:prstGeom prst="rect">
          <a:avLst/>
        </a:prstGeom>
      </xdr:spPr>
    </xdr:pic>
    <xdr:clientData/>
  </xdr:twoCellAnchor>
  <xdr:twoCellAnchor>
    <xdr:from>
      <xdr:col>2</xdr:col>
      <xdr:colOff>410672</xdr:colOff>
      <xdr:row>6</xdr:row>
      <xdr:rowOff>120872</xdr:rowOff>
    </xdr:from>
    <xdr:to>
      <xdr:col>3</xdr:col>
      <xdr:colOff>384459</xdr:colOff>
      <xdr:row>7</xdr:row>
      <xdr:rowOff>129610</xdr:rowOff>
    </xdr:to>
    <xdr:sp macro="" textlink="pivot!A8">
      <xdr:nvSpPr>
        <xdr:cNvPr id="6" name="TextBox 5">
          <a:extLst>
            <a:ext uri="{FF2B5EF4-FFF2-40B4-BE49-F238E27FC236}">
              <a16:creationId xmlns:a16="http://schemas.microsoft.com/office/drawing/2014/main" id="{02D4A39F-F03A-4758-70E0-BE624F1C3B92}"/>
            </a:ext>
          </a:extLst>
        </xdr:cNvPr>
        <xdr:cNvSpPr txBox="1"/>
      </xdr:nvSpPr>
      <xdr:spPr>
        <a:xfrm>
          <a:off x="879595" y="1282986"/>
          <a:ext cx="677172" cy="202423"/>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43BD25-A538-4F9E-8733-18EE91380536}" type="TxLink">
            <a:rPr lang="en-US" sz="1100" b="0" i="0" u="none" strike="noStrike">
              <a:solidFill>
                <a:schemeClr val="bg1"/>
              </a:solidFill>
              <a:latin typeface="Aptos"/>
            </a:rPr>
            <a:t>1,000</a:t>
          </a:fld>
          <a:endParaRPr lang="en-IN" sz="1100">
            <a:solidFill>
              <a:schemeClr val="bg1"/>
            </a:solidFill>
          </a:endParaRPr>
        </a:p>
      </xdr:txBody>
    </xdr:sp>
    <xdr:clientData/>
  </xdr:twoCellAnchor>
  <xdr:twoCellAnchor>
    <xdr:from>
      <xdr:col>2</xdr:col>
      <xdr:colOff>10194</xdr:colOff>
      <xdr:row>9</xdr:row>
      <xdr:rowOff>183491</xdr:rowOff>
    </xdr:from>
    <xdr:to>
      <xdr:col>4</xdr:col>
      <xdr:colOff>18930</xdr:colOff>
      <xdr:row>15</xdr:row>
      <xdr:rowOff>0</xdr:rowOff>
    </xdr:to>
    <xdr:sp macro="" textlink="pivot!B4">
      <xdr:nvSpPr>
        <xdr:cNvPr id="11" name="Rectangle 10">
          <a:extLst>
            <a:ext uri="{FF2B5EF4-FFF2-40B4-BE49-F238E27FC236}">
              <a16:creationId xmlns:a16="http://schemas.microsoft.com/office/drawing/2014/main" id="{318036E9-0599-4B25-A58D-56E8935076DA}"/>
            </a:ext>
          </a:extLst>
        </xdr:cNvPr>
        <xdr:cNvSpPr/>
      </xdr:nvSpPr>
      <xdr:spPr>
        <a:xfrm>
          <a:off x="479117" y="1926662"/>
          <a:ext cx="1415505" cy="978623"/>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60FB1A-E7E3-404C-8458-07A080E263CB}" type="TxLink">
            <a:rPr lang="en-US" sz="2000" b="0" i="0" u="none" strike="noStrike">
              <a:solidFill>
                <a:schemeClr val="bg1"/>
              </a:solidFill>
              <a:latin typeface="Aptos"/>
            </a:rPr>
            <a:t>$96,623</a:t>
          </a:fld>
          <a:endParaRPr lang="en-IN" sz="2000">
            <a:solidFill>
              <a:schemeClr val="bg1"/>
            </a:solidFill>
          </a:endParaRPr>
        </a:p>
      </xdr:txBody>
    </xdr:sp>
    <xdr:clientData/>
  </xdr:twoCellAnchor>
  <xdr:twoCellAnchor>
    <xdr:from>
      <xdr:col>2</xdr:col>
      <xdr:colOff>388827</xdr:colOff>
      <xdr:row>10</xdr:row>
      <xdr:rowOff>80097</xdr:rowOff>
    </xdr:from>
    <xdr:to>
      <xdr:col>3</xdr:col>
      <xdr:colOff>397565</xdr:colOff>
      <xdr:row>11</xdr:row>
      <xdr:rowOff>97572</xdr:rowOff>
    </xdr:to>
    <xdr:sp macro="" textlink="">
      <xdr:nvSpPr>
        <xdr:cNvPr id="12" name="TextBox 11">
          <a:extLst>
            <a:ext uri="{FF2B5EF4-FFF2-40B4-BE49-F238E27FC236}">
              <a16:creationId xmlns:a16="http://schemas.microsoft.com/office/drawing/2014/main" id="{D5428A13-3C99-41A7-A922-7770235FD382}"/>
            </a:ext>
          </a:extLst>
        </xdr:cNvPr>
        <xdr:cNvSpPr txBox="1"/>
      </xdr:nvSpPr>
      <xdr:spPr>
        <a:xfrm>
          <a:off x="857750" y="2016953"/>
          <a:ext cx="712123" cy="21116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Amount</a:t>
          </a:r>
        </a:p>
        <a:p>
          <a:endParaRPr lang="en-IN" sz="1100"/>
        </a:p>
      </xdr:txBody>
    </xdr:sp>
    <xdr:clientData/>
  </xdr:twoCellAnchor>
  <xdr:twoCellAnchor>
    <xdr:from>
      <xdr:col>2</xdr:col>
      <xdr:colOff>305819</xdr:colOff>
      <xdr:row>13</xdr:row>
      <xdr:rowOff>69903</xdr:rowOff>
    </xdr:from>
    <xdr:to>
      <xdr:col>3</xdr:col>
      <xdr:colOff>375720</xdr:colOff>
      <xdr:row>14</xdr:row>
      <xdr:rowOff>113592</xdr:rowOff>
    </xdr:to>
    <xdr:sp macro="" textlink="pivot!B8">
      <xdr:nvSpPr>
        <xdr:cNvPr id="14" name="TextBox 13">
          <a:extLst>
            <a:ext uri="{FF2B5EF4-FFF2-40B4-BE49-F238E27FC236}">
              <a16:creationId xmlns:a16="http://schemas.microsoft.com/office/drawing/2014/main" id="{2F264859-AC65-4329-B0CB-2AE7E89F571A}"/>
            </a:ext>
          </a:extLst>
        </xdr:cNvPr>
        <xdr:cNvSpPr txBox="1"/>
      </xdr:nvSpPr>
      <xdr:spPr>
        <a:xfrm>
          <a:off x="774742" y="2587816"/>
          <a:ext cx="773286" cy="23737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8E542-3BD7-48A4-9E8E-CB0D412B7136}" type="TxLink">
            <a:rPr lang="en-US" sz="1100" b="0" i="0" u="none" strike="noStrike">
              <a:solidFill>
                <a:schemeClr val="bg1"/>
              </a:solidFill>
              <a:latin typeface="Aptos"/>
            </a:rPr>
            <a:t>$96,623</a:t>
          </a:fld>
          <a:endParaRPr lang="en-IN" sz="1100">
            <a:solidFill>
              <a:schemeClr val="bg1"/>
            </a:solidFill>
          </a:endParaRPr>
        </a:p>
      </xdr:txBody>
    </xdr:sp>
    <xdr:clientData/>
  </xdr:twoCellAnchor>
  <xdr:twoCellAnchor>
    <xdr:from>
      <xdr:col>2</xdr:col>
      <xdr:colOff>0</xdr:colOff>
      <xdr:row>16</xdr:row>
      <xdr:rowOff>183493</xdr:rowOff>
    </xdr:from>
    <xdr:to>
      <xdr:col>4</xdr:col>
      <xdr:colOff>8736</xdr:colOff>
      <xdr:row>21</xdr:row>
      <xdr:rowOff>192233</xdr:rowOff>
    </xdr:to>
    <xdr:sp macro="" textlink="pivot!C4">
      <xdr:nvSpPr>
        <xdr:cNvPr id="15" name="Rectangle 14">
          <a:extLst>
            <a:ext uri="{FF2B5EF4-FFF2-40B4-BE49-F238E27FC236}">
              <a16:creationId xmlns:a16="http://schemas.microsoft.com/office/drawing/2014/main" id="{018B12B3-FF92-4C66-B23E-C9230D657DAF}"/>
            </a:ext>
          </a:extLst>
        </xdr:cNvPr>
        <xdr:cNvSpPr/>
      </xdr:nvSpPr>
      <xdr:spPr>
        <a:xfrm>
          <a:off x="468923" y="3282464"/>
          <a:ext cx="1415505" cy="97716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C884A9-B120-43A4-B685-DAD971AA9234}" type="TxLink">
            <a:rPr lang="en-US" sz="2000" b="0" i="0" u="none" strike="noStrike">
              <a:solidFill>
                <a:schemeClr val="bg1"/>
              </a:solidFill>
              <a:latin typeface="Aptos"/>
            </a:rPr>
            <a:t>89,850</a:t>
          </a:fld>
          <a:endParaRPr lang="en-IN" sz="2000">
            <a:solidFill>
              <a:schemeClr val="bg1"/>
            </a:solidFill>
          </a:endParaRPr>
        </a:p>
      </xdr:txBody>
    </xdr:sp>
    <xdr:clientData/>
  </xdr:twoCellAnchor>
  <xdr:twoCellAnchor>
    <xdr:from>
      <xdr:col>2</xdr:col>
      <xdr:colOff>285432</xdr:colOff>
      <xdr:row>17</xdr:row>
      <xdr:rowOff>10194</xdr:rowOff>
    </xdr:from>
    <xdr:to>
      <xdr:col>3</xdr:col>
      <xdr:colOff>550476</xdr:colOff>
      <xdr:row>18</xdr:row>
      <xdr:rowOff>112134</xdr:rowOff>
    </xdr:to>
    <xdr:sp macro="" textlink="">
      <xdr:nvSpPr>
        <xdr:cNvPr id="16" name="TextBox 15">
          <a:extLst>
            <a:ext uri="{FF2B5EF4-FFF2-40B4-BE49-F238E27FC236}">
              <a16:creationId xmlns:a16="http://schemas.microsoft.com/office/drawing/2014/main" id="{753D868E-4743-46D5-A830-A8A3AD6C3499}"/>
            </a:ext>
          </a:extLst>
        </xdr:cNvPr>
        <xdr:cNvSpPr txBox="1"/>
      </xdr:nvSpPr>
      <xdr:spPr>
        <a:xfrm>
          <a:off x="754355" y="3302849"/>
          <a:ext cx="968429" cy="295626"/>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Duration</a:t>
          </a:r>
        </a:p>
        <a:p>
          <a:endParaRPr lang="en-IN" sz="1100"/>
        </a:p>
      </xdr:txBody>
    </xdr:sp>
    <xdr:clientData/>
  </xdr:twoCellAnchor>
  <xdr:twoCellAnchor>
    <xdr:from>
      <xdr:col>2</xdr:col>
      <xdr:colOff>339314</xdr:colOff>
      <xdr:row>20</xdr:row>
      <xdr:rowOff>36406</xdr:rowOff>
    </xdr:from>
    <xdr:to>
      <xdr:col>3</xdr:col>
      <xdr:colOff>435428</xdr:colOff>
      <xdr:row>21</xdr:row>
      <xdr:rowOff>97574</xdr:rowOff>
    </xdr:to>
    <xdr:sp macro="" textlink="pivot!C8">
      <xdr:nvSpPr>
        <xdr:cNvPr id="18" name="TextBox 17">
          <a:extLst>
            <a:ext uri="{FF2B5EF4-FFF2-40B4-BE49-F238E27FC236}">
              <a16:creationId xmlns:a16="http://schemas.microsoft.com/office/drawing/2014/main" id="{4A521046-9012-445E-A8AC-CCD4699D670F}"/>
            </a:ext>
          </a:extLst>
        </xdr:cNvPr>
        <xdr:cNvSpPr txBox="1"/>
      </xdr:nvSpPr>
      <xdr:spPr>
        <a:xfrm>
          <a:off x="808237" y="3910119"/>
          <a:ext cx="799499" cy="254852"/>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12AEAD-325E-4172-8586-2F5002ABF964}" type="TxLink">
            <a:rPr lang="en-US" sz="1100" b="0" i="0" u="none" strike="noStrike">
              <a:solidFill>
                <a:schemeClr val="bg1"/>
              </a:solidFill>
              <a:latin typeface="Aptos"/>
            </a:rPr>
            <a:t>89,850</a:t>
          </a:fld>
          <a:endParaRPr lang="en-IN" sz="1100">
            <a:solidFill>
              <a:schemeClr val="bg1"/>
            </a:solidFill>
          </a:endParaRPr>
        </a:p>
      </xdr:txBody>
    </xdr:sp>
    <xdr:clientData/>
  </xdr:twoCellAnchor>
  <xdr:twoCellAnchor>
    <xdr:from>
      <xdr:col>2</xdr:col>
      <xdr:colOff>4368</xdr:colOff>
      <xdr:row>23</xdr:row>
      <xdr:rowOff>192228</xdr:rowOff>
    </xdr:from>
    <xdr:to>
      <xdr:col>4</xdr:col>
      <xdr:colOff>16018</xdr:colOff>
      <xdr:row>29</xdr:row>
      <xdr:rowOff>8736</xdr:rowOff>
    </xdr:to>
    <xdr:sp macro="" textlink="pivot!D4">
      <xdr:nvSpPr>
        <xdr:cNvPr id="19" name="Rectangle 18">
          <a:extLst>
            <a:ext uri="{FF2B5EF4-FFF2-40B4-BE49-F238E27FC236}">
              <a16:creationId xmlns:a16="http://schemas.microsoft.com/office/drawing/2014/main" id="{D4767CDF-15AB-43B7-B689-E701B22FA42F}"/>
            </a:ext>
          </a:extLst>
        </xdr:cNvPr>
        <xdr:cNvSpPr/>
      </xdr:nvSpPr>
      <xdr:spPr>
        <a:xfrm>
          <a:off x="473291" y="4646997"/>
          <a:ext cx="1418419" cy="97862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8C39A4-7DD1-400E-B197-64370BA5E2FC}" type="TxLink">
            <a:rPr lang="en-US" sz="2000" b="0" i="0" u="none" strike="noStrike">
              <a:solidFill>
                <a:schemeClr val="bg1"/>
              </a:solidFill>
              <a:latin typeface="Aptos"/>
            </a:rPr>
            <a:t>3.9</a:t>
          </a:fld>
          <a:endParaRPr lang="en-IN" sz="2000">
            <a:solidFill>
              <a:schemeClr val="bg1"/>
            </a:solidFill>
          </a:endParaRPr>
        </a:p>
      </xdr:txBody>
    </xdr:sp>
    <xdr:clientData/>
  </xdr:twoCellAnchor>
  <xdr:twoCellAnchor>
    <xdr:from>
      <xdr:col>2</xdr:col>
      <xdr:colOff>349508</xdr:colOff>
      <xdr:row>24</xdr:row>
      <xdr:rowOff>10193</xdr:rowOff>
    </xdr:from>
    <xdr:to>
      <xdr:col>3</xdr:col>
      <xdr:colOff>410672</xdr:colOff>
      <xdr:row>25</xdr:row>
      <xdr:rowOff>91744</xdr:rowOff>
    </xdr:to>
    <xdr:sp macro="" textlink="">
      <xdr:nvSpPr>
        <xdr:cNvPr id="20" name="TextBox 19">
          <a:extLst>
            <a:ext uri="{FF2B5EF4-FFF2-40B4-BE49-F238E27FC236}">
              <a16:creationId xmlns:a16="http://schemas.microsoft.com/office/drawing/2014/main" id="{43DB899F-DBBB-4D46-8A46-8749DCC9C3E2}"/>
            </a:ext>
          </a:extLst>
        </xdr:cNvPr>
        <xdr:cNvSpPr txBox="1"/>
      </xdr:nvSpPr>
      <xdr:spPr>
        <a:xfrm>
          <a:off x="818431" y="4658648"/>
          <a:ext cx="764549" cy="27523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5*Rating</a:t>
          </a:r>
        </a:p>
        <a:p>
          <a:endParaRPr lang="en-IN" sz="1100"/>
        </a:p>
      </xdr:txBody>
    </xdr:sp>
    <xdr:clientData/>
  </xdr:twoCellAnchor>
  <xdr:twoCellAnchor>
    <xdr:from>
      <xdr:col>2</xdr:col>
      <xdr:colOff>445622</xdr:colOff>
      <xdr:row>27</xdr:row>
      <xdr:rowOff>10194</xdr:rowOff>
    </xdr:from>
    <xdr:to>
      <xdr:col>3</xdr:col>
      <xdr:colOff>419409</xdr:colOff>
      <xdr:row>28</xdr:row>
      <xdr:rowOff>112134</xdr:rowOff>
    </xdr:to>
    <xdr:sp macro="" textlink="pivot!D8">
      <xdr:nvSpPr>
        <xdr:cNvPr id="22" name="TextBox 21">
          <a:extLst>
            <a:ext uri="{FF2B5EF4-FFF2-40B4-BE49-F238E27FC236}">
              <a16:creationId xmlns:a16="http://schemas.microsoft.com/office/drawing/2014/main" id="{F49F53BF-D56A-4439-8DF0-095450065E2B}"/>
            </a:ext>
          </a:extLst>
        </xdr:cNvPr>
        <xdr:cNvSpPr txBox="1"/>
      </xdr:nvSpPr>
      <xdr:spPr>
        <a:xfrm>
          <a:off x="914545" y="5239706"/>
          <a:ext cx="677172" cy="29562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D8E83-FEBA-4BC4-A9B9-DCE7CA3AB0B5}" type="TxLink">
            <a:rPr lang="en-US" sz="1100" b="0" i="0" u="none" strike="noStrike">
              <a:solidFill>
                <a:schemeClr val="bg1"/>
              </a:solidFill>
              <a:latin typeface="Aptos"/>
            </a:rPr>
            <a:t>3.9</a:t>
          </a:fld>
          <a:endParaRPr lang="en-IN" sz="1100">
            <a:solidFill>
              <a:schemeClr val="bg1"/>
            </a:solidFill>
          </a:endParaRPr>
        </a:p>
      </xdr:txBody>
    </xdr:sp>
    <xdr:clientData/>
  </xdr:twoCellAnchor>
  <xdr:twoCellAnchor editAs="oneCell">
    <xdr:from>
      <xdr:col>2</xdr:col>
      <xdr:colOff>132523</xdr:colOff>
      <xdr:row>10</xdr:row>
      <xdr:rowOff>64078</xdr:rowOff>
    </xdr:from>
    <xdr:to>
      <xdr:col>2</xdr:col>
      <xdr:colOff>324751</xdr:colOff>
      <xdr:row>11</xdr:row>
      <xdr:rowOff>68436</xdr:rowOff>
    </xdr:to>
    <xdr:pic>
      <xdr:nvPicPr>
        <xdr:cNvPr id="23" name="Graphic 22" descr="Shopping cart with solid fill">
          <a:extLst>
            <a:ext uri="{FF2B5EF4-FFF2-40B4-BE49-F238E27FC236}">
              <a16:creationId xmlns:a16="http://schemas.microsoft.com/office/drawing/2014/main" id="{87A9333D-B452-4278-ABE8-7B883C33E1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1446" y="2000934"/>
          <a:ext cx="192228" cy="198044"/>
        </a:xfrm>
        <a:prstGeom prst="rect">
          <a:avLst/>
        </a:prstGeom>
      </xdr:spPr>
    </xdr:pic>
    <xdr:clientData/>
  </xdr:twoCellAnchor>
  <xdr:twoCellAnchor>
    <xdr:from>
      <xdr:col>2</xdr:col>
      <xdr:colOff>1410</xdr:colOff>
      <xdr:row>30</xdr:row>
      <xdr:rowOff>164006</xdr:rowOff>
    </xdr:from>
    <xdr:to>
      <xdr:col>4</xdr:col>
      <xdr:colOff>15630</xdr:colOff>
      <xdr:row>35</xdr:row>
      <xdr:rowOff>167604</xdr:rowOff>
    </xdr:to>
    <xdr:sp macro="" textlink="pivot!E4">
      <xdr:nvSpPr>
        <xdr:cNvPr id="24" name="Rectangle 23">
          <a:extLst>
            <a:ext uri="{FF2B5EF4-FFF2-40B4-BE49-F238E27FC236}">
              <a16:creationId xmlns:a16="http://schemas.microsoft.com/office/drawing/2014/main" id="{BF9626D2-1860-4561-98CC-02D7D84C3B65}"/>
            </a:ext>
          </a:extLst>
        </xdr:cNvPr>
        <xdr:cNvSpPr/>
      </xdr:nvSpPr>
      <xdr:spPr>
        <a:xfrm>
          <a:off x="470333" y="5974574"/>
          <a:ext cx="1420989" cy="97202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B03B4D-5BE5-4B06-9505-B70B4CD14B4D}" type="TxLink">
            <a:rPr lang="en-US" sz="2000" b="0" i="0" u="none" strike="noStrike">
              <a:solidFill>
                <a:schemeClr val="bg1"/>
              </a:solidFill>
              <a:latin typeface="Aptos"/>
            </a:rPr>
            <a:t>307</a:t>
          </a:fld>
          <a:endParaRPr lang="en-IN" sz="2000">
            <a:solidFill>
              <a:schemeClr val="bg1"/>
            </a:solidFill>
          </a:endParaRPr>
        </a:p>
      </xdr:txBody>
    </xdr:sp>
    <xdr:clientData/>
  </xdr:twoCellAnchor>
  <xdr:twoCellAnchor>
    <xdr:from>
      <xdr:col>2</xdr:col>
      <xdr:colOff>234463</xdr:colOff>
      <xdr:row>31</xdr:row>
      <xdr:rowOff>61164</xdr:rowOff>
    </xdr:from>
    <xdr:to>
      <xdr:col>3</xdr:col>
      <xdr:colOff>629116</xdr:colOff>
      <xdr:row>32</xdr:row>
      <xdr:rowOff>101939</xdr:rowOff>
    </xdr:to>
    <xdr:sp macro="" textlink="">
      <xdr:nvSpPr>
        <xdr:cNvPr id="25" name="TextBox 24">
          <a:extLst>
            <a:ext uri="{FF2B5EF4-FFF2-40B4-BE49-F238E27FC236}">
              <a16:creationId xmlns:a16="http://schemas.microsoft.com/office/drawing/2014/main" id="{2E93725B-23A4-4AEC-82A8-6CF73A29A55C}"/>
            </a:ext>
          </a:extLst>
        </xdr:cNvPr>
        <xdr:cNvSpPr txBox="1"/>
      </xdr:nvSpPr>
      <xdr:spPr>
        <a:xfrm>
          <a:off x="703386" y="6065418"/>
          <a:ext cx="1098038" cy="23446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Happy callers</a:t>
          </a:r>
        </a:p>
        <a:p>
          <a:endParaRPr lang="en-IN" sz="1100"/>
        </a:p>
      </xdr:txBody>
    </xdr:sp>
    <xdr:clientData/>
  </xdr:twoCellAnchor>
  <xdr:twoCellAnchor>
    <xdr:from>
      <xdr:col>2</xdr:col>
      <xdr:colOff>426691</xdr:colOff>
      <xdr:row>34</xdr:row>
      <xdr:rowOff>61163</xdr:rowOff>
    </xdr:from>
    <xdr:to>
      <xdr:col>3</xdr:col>
      <xdr:colOff>330576</xdr:colOff>
      <xdr:row>35</xdr:row>
      <xdr:rowOff>104856</xdr:rowOff>
    </xdr:to>
    <xdr:sp macro="" textlink="pivot!E8">
      <xdr:nvSpPr>
        <xdr:cNvPr id="27" name="TextBox 26">
          <a:extLst>
            <a:ext uri="{FF2B5EF4-FFF2-40B4-BE49-F238E27FC236}">
              <a16:creationId xmlns:a16="http://schemas.microsoft.com/office/drawing/2014/main" id="{1AC1FAEE-E337-4E59-917E-CF61E3CD8DBC}"/>
            </a:ext>
          </a:extLst>
        </xdr:cNvPr>
        <xdr:cNvSpPr txBox="1"/>
      </xdr:nvSpPr>
      <xdr:spPr>
        <a:xfrm>
          <a:off x="895614" y="6646475"/>
          <a:ext cx="607270" cy="23737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558054-C883-44EE-B9E6-1DEA99069B83}" type="TxLink">
            <a:rPr lang="en-US" sz="1100" b="0" i="0" u="none" strike="noStrike">
              <a:solidFill>
                <a:schemeClr val="bg1"/>
              </a:solidFill>
              <a:latin typeface="Aptos"/>
            </a:rPr>
            <a:t>307</a:t>
          </a:fld>
          <a:endParaRPr lang="en-IN" sz="1100">
            <a:solidFill>
              <a:schemeClr val="bg1"/>
            </a:solidFill>
          </a:endParaRPr>
        </a:p>
      </xdr:txBody>
    </xdr:sp>
    <xdr:clientData/>
  </xdr:twoCellAnchor>
  <xdr:twoCellAnchor editAs="oneCell">
    <xdr:from>
      <xdr:col>2</xdr:col>
      <xdr:colOff>133979</xdr:colOff>
      <xdr:row>17</xdr:row>
      <xdr:rowOff>74272</xdr:rowOff>
    </xdr:from>
    <xdr:to>
      <xdr:col>2</xdr:col>
      <xdr:colOff>307421</xdr:colOff>
      <xdr:row>18</xdr:row>
      <xdr:rowOff>56796</xdr:rowOff>
    </xdr:to>
    <xdr:pic>
      <xdr:nvPicPr>
        <xdr:cNvPr id="28" name="Graphic 27" descr="Hourglass Finished with solid fill">
          <a:extLst>
            <a:ext uri="{FF2B5EF4-FFF2-40B4-BE49-F238E27FC236}">
              <a16:creationId xmlns:a16="http://schemas.microsoft.com/office/drawing/2014/main" id="{5E0D821B-7A5E-47F6-B31E-D54FBAEF89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2902" y="3366927"/>
          <a:ext cx="173442" cy="176210"/>
        </a:xfrm>
        <a:prstGeom prst="rect">
          <a:avLst/>
        </a:prstGeom>
      </xdr:spPr>
    </xdr:pic>
    <xdr:clientData/>
  </xdr:twoCellAnchor>
  <xdr:twoCellAnchor editAs="oneCell">
    <xdr:from>
      <xdr:col>2</xdr:col>
      <xdr:colOff>71359</xdr:colOff>
      <xdr:row>24</xdr:row>
      <xdr:rowOff>91745</xdr:rowOff>
    </xdr:from>
    <xdr:to>
      <xdr:col>2</xdr:col>
      <xdr:colOff>289800</xdr:colOff>
      <xdr:row>25</xdr:row>
      <xdr:rowOff>121245</xdr:rowOff>
    </xdr:to>
    <xdr:pic>
      <xdr:nvPicPr>
        <xdr:cNvPr id="29" name="Graphic 28" descr="Rating Star with solid fill">
          <a:extLst>
            <a:ext uri="{FF2B5EF4-FFF2-40B4-BE49-F238E27FC236}">
              <a16:creationId xmlns:a16="http://schemas.microsoft.com/office/drawing/2014/main" id="{ADD01A0C-6BC8-4817-A3DC-16A79964B6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40282" y="4740200"/>
          <a:ext cx="218441" cy="223186"/>
        </a:xfrm>
        <a:prstGeom prst="rect">
          <a:avLst/>
        </a:prstGeom>
      </xdr:spPr>
    </xdr:pic>
    <xdr:clientData/>
  </xdr:twoCellAnchor>
  <xdr:twoCellAnchor editAs="oneCell">
    <xdr:from>
      <xdr:col>2</xdr:col>
      <xdr:colOff>69901</xdr:colOff>
      <xdr:row>31</xdr:row>
      <xdr:rowOff>84466</xdr:rowOff>
    </xdr:from>
    <xdr:to>
      <xdr:col>2</xdr:col>
      <xdr:colOff>305819</xdr:colOff>
      <xdr:row>32</xdr:row>
      <xdr:rowOff>131721</xdr:rowOff>
    </xdr:to>
    <xdr:pic>
      <xdr:nvPicPr>
        <xdr:cNvPr id="30" name="Graphic 29" descr="Star-struck face outline with solid fill">
          <a:extLst>
            <a:ext uri="{FF2B5EF4-FFF2-40B4-BE49-F238E27FC236}">
              <a16:creationId xmlns:a16="http://schemas.microsoft.com/office/drawing/2014/main" id="{3EFF448A-0260-4DC3-B4E8-891656CD17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8824" y="6088720"/>
          <a:ext cx="235918" cy="240941"/>
        </a:xfrm>
        <a:prstGeom prst="rect">
          <a:avLst/>
        </a:prstGeom>
      </xdr:spPr>
    </xdr:pic>
    <xdr:clientData/>
  </xdr:twoCellAnchor>
  <xdr:twoCellAnchor editAs="oneCell">
    <xdr:from>
      <xdr:col>11</xdr:col>
      <xdr:colOff>512688</xdr:colOff>
      <xdr:row>16</xdr:row>
      <xdr:rowOff>174246</xdr:rowOff>
    </xdr:from>
    <xdr:to>
      <xdr:col>14</xdr:col>
      <xdr:colOff>0</xdr:colOff>
      <xdr:row>26</xdr:row>
      <xdr:rowOff>94161</xdr:rowOff>
    </xdr:to>
    <mc:AlternateContent xmlns:mc="http://schemas.openxmlformats.org/markup-compatibility/2006">
      <mc:Choice xmlns:a14="http://schemas.microsoft.com/office/drawing/2010/main" Requires="a14">
        <xdr:graphicFrame macro="">
          <xdr:nvGraphicFramePr>
            <xdr:cNvPr id="31" name="Representative">
              <a:extLst>
                <a:ext uri="{FF2B5EF4-FFF2-40B4-BE49-F238E27FC236}">
                  <a16:creationId xmlns:a16="http://schemas.microsoft.com/office/drawing/2014/main" id="{48BFC2A1-DD5E-4AD9-AFE3-44DC793A1CF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791759" y="3190823"/>
              <a:ext cx="1577604" cy="1805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197232</xdr:colOff>
      <xdr:row>3</xdr:row>
      <xdr:rowOff>119224</xdr:rowOff>
    </xdr:from>
    <xdr:to>
      <xdr:col>13</xdr:col>
      <xdr:colOff>455072</xdr:colOff>
      <xdr:row>13</xdr:row>
      <xdr:rowOff>75579</xdr:rowOff>
    </xdr:to>
    <xdr:graphicFrame macro="">
      <xdr:nvGraphicFramePr>
        <xdr:cNvPr id="33" name="Chart 32">
          <a:extLst>
            <a:ext uri="{FF2B5EF4-FFF2-40B4-BE49-F238E27FC236}">
              <a16:creationId xmlns:a16="http://schemas.microsoft.com/office/drawing/2014/main" id="{A898EC78-9F94-489A-AC71-487A7DFF0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10194</xdr:colOff>
      <xdr:row>2</xdr:row>
      <xdr:rowOff>163103</xdr:rowOff>
    </xdr:from>
    <xdr:to>
      <xdr:col>11</xdr:col>
      <xdr:colOff>240667</xdr:colOff>
      <xdr:row>14</xdr:row>
      <xdr:rowOff>142274</xdr:rowOff>
    </xdr:to>
    <xdr:graphicFrame macro="">
      <xdr:nvGraphicFramePr>
        <xdr:cNvPr id="32" name="Chart 31">
          <a:extLst>
            <a:ext uri="{FF2B5EF4-FFF2-40B4-BE49-F238E27FC236}">
              <a16:creationId xmlns:a16="http://schemas.microsoft.com/office/drawing/2014/main" id="{16FEFE1F-2CC9-4BC3-8162-ED9785055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25928</xdr:colOff>
      <xdr:row>16</xdr:row>
      <xdr:rowOff>158449</xdr:rowOff>
    </xdr:from>
    <xdr:to>
      <xdr:col>8</xdr:col>
      <xdr:colOff>417953</xdr:colOff>
      <xdr:row>35</xdr:row>
      <xdr:rowOff>173298</xdr:rowOff>
    </xdr:to>
    <xdr:graphicFrame macro="">
      <xdr:nvGraphicFramePr>
        <xdr:cNvPr id="34" name="Chart 33">
          <a:extLst>
            <a:ext uri="{FF2B5EF4-FFF2-40B4-BE49-F238E27FC236}">
              <a16:creationId xmlns:a16="http://schemas.microsoft.com/office/drawing/2014/main" id="{94ED49E5-5F42-45CC-99A0-0E3454CDF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438576</xdr:colOff>
      <xdr:row>16</xdr:row>
      <xdr:rowOff>157262</xdr:rowOff>
    </xdr:from>
    <xdr:to>
      <xdr:col>11</xdr:col>
      <xdr:colOff>560668</xdr:colOff>
      <xdr:row>35</xdr:row>
      <xdr:rowOff>152910</xdr:rowOff>
    </xdr:to>
    <xdr:graphicFrame macro="">
      <xdr:nvGraphicFramePr>
        <xdr:cNvPr id="35" name="Chart 34">
          <a:extLst>
            <a:ext uri="{FF2B5EF4-FFF2-40B4-BE49-F238E27FC236}">
              <a16:creationId xmlns:a16="http://schemas.microsoft.com/office/drawing/2014/main" id="{4BE64F0D-65C7-4934-B76A-AD04A64CA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1691</xdr:colOff>
      <xdr:row>2</xdr:row>
      <xdr:rowOff>125549</xdr:rowOff>
    </xdr:from>
    <xdr:to>
      <xdr:col>18</xdr:col>
      <xdr:colOff>8459</xdr:colOff>
      <xdr:row>14</xdr:row>
      <xdr:rowOff>50754</xdr:rowOff>
    </xdr:to>
    <xdr:graphicFrame macro="">
      <xdr:nvGraphicFramePr>
        <xdr:cNvPr id="36" name="Chart 35">
          <a:extLst>
            <a:ext uri="{FF2B5EF4-FFF2-40B4-BE49-F238E27FC236}">
              <a16:creationId xmlns:a16="http://schemas.microsoft.com/office/drawing/2014/main" id="{17BC5696-270F-4D23-B887-27AF19BDA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179851</xdr:colOff>
      <xdr:row>2</xdr:row>
      <xdr:rowOff>123057</xdr:rowOff>
    </xdr:from>
    <xdr:to>
      <xdr:col>21</xdr:col>
      <xdr:colOff>397566</xdr:colOff>
      <xdr:row>14</xdr:row>
      <xdr:rowOff>47329</xdr:rowOff>
    </xdr:to>
    <xdr:graphicFrame macro="">
      <xdr:nvGraphicFramePr>
        <xdr:cNvPr id="37" name="Chart 36">
          <a:extLst>
            <a:ext uri="{FF2B5EF4-FFF2-40B4-BE49-F238E27FC236}">
              <a16:creationId xmlns:a16="http://schemas.microsoft.com/office/drawing/2014/main" id="{DF34A7E6-A298-4D16-B1B8-6979A45E7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802161111111" backgroundQuery="1" createdVersion="8" refreshedVersion="8" minRefreshableVersion="3" recordCount="0" supportSubquery="1" supportAdvancedDrill="1" xr:uid="{1E28FFC4-E8C0-4078-A3F1-7E3B9AADF5DF}">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802163541666" backgroundQuery="1" createdVersion="8" refreshedVersion="8" minRefreshableVersion="3" recordCount="0" supportSubquery="1" supportAdvancedDrill="1" xr:uid="{4C53CF9F-FF70-49CB-B628-838B9B109FD2}">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5*rating]" caption="5*rating" numFmtId="0" hierarchy="20" level="32767"/>
    <cacheField name="[Measures].[Happy callers]" caption="Happy caller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rating]" caption="5*rating" measure="1" displayFolder="" measureGroup="calls" count="0" oneField="1">
      <fieldsUsage count="1">
        <fieldUsage x="3"/>
      </fieldsUsage>
    </cacheHierarchy>
    <cacheHierarchy uniqueName="[Measures].[Happy callers]" caption="Happy call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80216550926" backgroundQuery="1" createdVersion="8" refreshedVersion="8" minRefreshableVersion="3" recordCount="0" supportSubquery="1" supportAdvancedDrill="1" xr:uid="{7082C88D-1D2D-4F79-8867-3BEE18B45BD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860992245369" backgroundQuery="1" createdVersion="8" refreshedVersion="8" minRefreshableVersion="3" recordCount="0" supportSubquery="1" supportAdvancedDrill="1" xr:uid="{30651F98-1E17-4D8B-93A9-CB338B612C9B}">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905134375003" backgroundQuery="1" createdVersion="8" refreshedVersion="8" minRefreshableVersion="3" recordCount="0" supportSubquery="1" supportAdvancedDrill="1" xr:uid="{3B5BB5F7-274E-4E1E-A282-21D38B31EB8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5*rating]" caption="5*rating" numFmtId="0" hierarchy="20" level="32767"/>
    <cacheField name="[Measures].[Happy callers]" caption="Happy caller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rating]" caption="5*rating" measure="1" displayFolder="" measureGroup="calls" count="0" oneField="1">
      <fieldsUsage count="1">
        <fieldUsage x="3"/>
      </fieldsUsage>
    </cacheHierarchy>
    <cacheHierarchy uniqueName="[Measures].[Happy callers]" caption="Happy call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905135532405" backgroundQuery="1" createdVersion="8" refreshedVersion="8" minRefreshableVersion="3" recordCount="0" supportSubquery="1" supportAdvancedDrill="1" xr:uid="{089113EA-15CB-4FE4-8CAA-6B32F011191A}">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905136111112" backgroundQuery="1" createdVersion="8" refreshedVersion="8" minRefreshableVersion="3" recordCount="0" supportSubquery="1" supportAdvancedDrill="1" xr:uid="{97D6CE68-D809-44D8-BF68-AD33E833301D}">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905136805559" backgroundQuery="1" createdVersion="8" refreshedVersion="8" minRefreshableVersion="3" recordCount="0" supportSubquery="1" supportAdvancedDrill="1" xr:uid="{5E666F69-B502-4467-A61D-6CB981BA7695}">
  <cacheSource type="external" connectionId="1"/>
  <cacheFields count="1">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905137847221" backgroundQuery="1" createdVersion="8" refreshedVersion="8" minRefreshableVersion="3" recordCount="0" supportSubquery="1" supportAdvancedDrill="1" xr:uid="{AE62F7C7-71CC-4BB5-90B4-79AB101B709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NANDHINI" refreshedDate="45999.802166435184" backgroundQuery="1" createdVersion="3" refreshedVersion="8" minRefreshableVersion="3" recordCount="0" supportSubquery="1" supportAdvancedDrill="1" xr:uid="{13D5CA08-A1E2-4EA2-9E66-EDF498B23BF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rating]" caption="5*rating" measure="1" displayFolder="" measureGroup="calls" count="0"/>
    <cacheHierarchy uniqueName="[Measures].[Happy callers]" caption="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90156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348E6-6557-4904-8307-AE5B1CE038ED}" name="rep amount" cacheId="94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A68:G87"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C6838E-9CFA-4210-9278-7105A01A3448}" name="rep satisfaction" cacheId="12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59:B6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33174-185F-4FC5-8CCC-E24AF0A3EC94}" name="PivotTable8" cacheId="5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D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8EF7AF-FD7B-40E4-9F0C-1D8BCB69043A}" name="selected rep" cacheId="12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7:A42"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2">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BCEA7-AC3E-4E2F-AAF0-930847090295}" name="reps pivot" cacheId="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34" firstHeaderRow="0"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numFmtId="167"/>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226FDE-BBC6-4DE5-9822-3C68F6729F5C}" name="Weekly Trend" cacheId="1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11:F19"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904148-3A15-44A0-96D4-0648217FD427}" name="Monthly Trend" cacheId="12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F2B8F-30FA-45EF-8CF2-128F3DD76BF3}" name="rep pivot" cacheId="12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A1D9C8-430A-4435-AF7A-FE91F7BCE932}" name="Summary Pivot"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61AD6AD-662B-49B4-8BEC-A6A790B82F70}" sourceName="[calls].[Representative]">
  <pivotTables>
    <pivotTable tabId="6" name="rep pivot"/>
    <pivotTable tabId="6" name="Monthly Trend"/>
    <pivotTable tabId="6" name="Weekly Trend"/>
    <pivotTable tabId="6" name="selected rep"/>
    <pivotTable tabId="6" name="rep satisfaction"/>
  </pivotTables>
  <data>
    <olap pivotCacheId="19090156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E165ACB-586B-489E-9A24-75B4F52F89BF}" cache="Slicer_Representative" caption="Representative" level="1" style="SlicerStyleLight3" rowHeight="2575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3"/>
    <tableColumn id="5" xr3:uid="{5A35565E-8707-4DED-AD15-A0669D67B382}" name="Date of Call" dataDxfId="32"/>
    <tableColumn id="6" xr3:uid="{F2E4F158-B41F-47BC-8DF8-DFCADFEE4E40}" name="Purchase Amount"/>
    <tableColumn id="7" xr3:uid="{04B291B5-47BD-4F78-8FD8-D1551CCA6BD9}" name="Satisfaction Rating"/>
    <tableColumn id="8" xr3:uid="{6E4123C0-0B17-43B8-A142-A1E540CE974C}" name="FY" dataDxfId="31">
      <calculatedColumnFormula>IF(MONTH(calls[[#This Row],[Date of Call]])&lt;=6, YEAR(calls[[#This Row],[Date of Call]]), YEAR(calls[[#This Row],[Date of Call]])+1)</calculatedColumnFormula>
    </tableColumn>
    <tableColumn id="9" xr3:uid="{199FA271-5E9B-46CE-9BC6-2801F92CD17E}" name="Day of week" dataDxfId="30">
      <calculatedColumnFormula>TEXT(calls[[#This Row],[Date of Call]],"DDDD")</calculatedColumnFormula>
    </tableColumn>
    <tableColumn id="10" xr3:uid="{328CDB09-95B8-4D5E-9ED9-EF0D363735A1}" name="Duration Bucket" dataDxfId="2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7" headerRowBorderDxfId="26" tableBorderDxfId="25" totalsRowBorderDxfId="24">
  <autoFilter ref="Q3:T18" xr:uid="{27158F51-A707-4171-8A04-81FB0AABCBA5}"/>
  <tableColumns count="4">
    <tableColumn id="1" xr3:uid="{02688061-6A8C-4E23-B7FF-D00CD8B58CAC}" name="Customer ID" dataDxfId="23"/>
    <tableColumn id="2" xr3:uid="{771678B6-DB44-426B-9874-B4E421A440D5}" name="Gender" dataDxfId="22"/>
    <tableColumn id="3" xr3:uid="{B0D41C62-587E-494D-B49A-603F2C05F8D3}" name="Age" dataDxfId="21"/>
    <tableColumn id="4" xr3:uid="{663F92D6-FE31-4D81-9E01-8D066DDC8A88}" name="City" dataDxfId="2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4129-25A8-4B53-9A2E-932ED2E2ABAD}">
  <dimension ref="A3:J87"/>
  <sheetViews>
    <sheetView topLeftCell="A33" zoomScale="102" workbookViewId="0">
      <selection activeCell="G45" sqref="G45"/>
    </sheetView>
  </sheetViews>
  <sheetFormatPr defaultRowHeight="15.05" x14ac:dyDescent="0.3"/>
  <cols>
    <col min="1" max="1" width="12.09765625" bestFit="1" customWidth="1"/>
    <col min="2" max="2" width="9.19921875" bestFit="1" customWidth="1"/>
    <col min="3" max="3" width="10.19921875" bestFit="1" customWidth="1"/>
    <col min="4" max="4" width="7.3984375" bestFit="1" customWidth="1"/>
    <col min="5" max="5" width="12.09765625" bestFit="1" customWidth="1"/>
    <col min="6" max="6" width="9.19921875" bestFit="1" customWidth="1"/>
    <col min="7" max="7" width="10.3984375" bestFit="1" customWidth="1"/>
    <col min="8" max="159" width="10.09765625" bestFit="1" customWidth="1"/>
    <col min="160" max="160" width="10.3984375" bestFit="1" customWidth="1"/>
  </cols>
  <sheetData>
    <row r="3" spans="1:6" x14ac:dyDescent="0.3">
      <c r="A3" t="s">
        <v>1041</v>
      </c>
      <c r="B3" t="s">
        <v>1042</v>
      </c>
      <c r="C3" t="s">
        <v>1043</v>
      </c>
      <c r="D3" t="s">
        <v>1044</v>
      </c>
      <c r="E3" t="s">
        <v>1045</v>
      </c>
    </row>
    <row r="4" spans="1:6" x14ac:dyDescent="0.3">
      <c r="A4" s="21">
        <v>1000</v>
      </c>
      <c r="B4" s="22">
        <v>96623</v>
      </c>
      <c r="C4" s="21">
        <v>89850</v>
      </c>
      <c r="D4" s="23">
        <v>3.8854000000000033</v>
      </c>
      <c r="E4" s="21">
        <v>307</v>
      </c>
    </row>
    <row r="7" spans="1:6" x14ac:dyDescent="0.3">
      <c r="A7" t="s">
        <v>1041</v>
      </c>
      <c r="B7" t="s">
        <v>1042</v>
      </c>
      <c r="C7" t="s">
        <v>1043</v>
      </c>
      <c r="D7" t="s">
        <v>1044</v>
      </c>
      <c r="E7" t="s">
        <v>1045</v>
      </c>
    </row>
    <row r="8" spans="1:6" x14ac:dyDescent="0.3">
      <c r="A8" s="21">
        <v>1000</v>
      </c>
      <c r="B8" s="22">
        <v>96623</v>
      </c>
      <c r="C8" s="21">
        <v>89850</v>
      </c>
      <c r="D8" s="23">
        <v>3.8854000000000033</v>
      </c>
      <c r="E8" s="21">
        <v>307</v>
      </c>
    </row>
    <row r="11" spans="1:6" x14ac:dyDescent="0.3">
      <c r="A11" s="24" t="s">
        <v>1046</v>
      </c>
      <c r="B11" t="s">
        <v>1041</v>
      </c>
      <c r="C11" t="s">
        <v>1068</v>
      </c>
      <c r="E11" s="24" t="s">
        <v>1046</v>
      </c>
      <c r="F11" t="s">
        <v>1041</v>
      </c>
    </row>
    <row r="12" spans="1:6" x14ac:dyDescent="0.3">
      <c r="A12" s="25" t="s">
        <v>1056</v>
      </c>
      <c r="B12" s="21">
        <v>79</v>
      </c>
      <c r="C12" s="21">
        <v>79</v>
      </c>
      <c r="E12" s="25" t="s">
        <v>1051</v>
      </c>
      <c r="F12" s="21">
        <v>146</v>
      </c>
    </row>
    <row r="13" spans="1:6" x14ac:dyDescent="0.3">
      <c r="A13" s="25" t="s">
        <v>1057</v>
      </c>
      <c r="B13" s="21">
        <v>66</v>
      </c>
      <c r="C13" s="21">
        <v>66</v>
      </c>
      <c r="E13" s="25" t="s">
        <v>1049</v>
      </c>
      <c r="F13" s="21">
        <v>133</v>
      </c>
    </row>
    <row r="14" spans="1:6" x14ac:dyDescent="0.3">
      <c r="A14" s="25" t="s">
        <v>1058</v>
      </c>
      <c r="B14" s="21">
        <v>155</v>
      </c>
      <c r="C14" s="21">
        <v>155</v>
      </c>
      <c r="E14" s="25" t="s">
        <v>1053</v>
      </c>
      <c r="F14" s="21">
        <v>138</v>
      </c>
    </row>
    <row r="15" spans="1:6" x14ac:dyDescent="0.3">
      <c r="A15" s="25" t="s">
        <v>1059</v>
      </c>
      <c r="B15" s="21">
        <v>136</v>
      </c>
      <c r="C15" s="21">
        <v>136</v>
      </c>
      <c r="E15" s="25" t="s">
        <v>1054</v>
      </c>
      <c r="F15" s="21">
        <v>153</v>
      </c>
    </row>
    <row r="16" spans="1:6" x14ac:dyDescent="0.3">
      <c r="A16" s="25" t="s">
        <v>1060</v>
      </c>
      <c r="B16" s="21">
        <v>83</v>
      </c>
      <c r="C16" s="21">
        <v>83</v>
      </c>
      <c r="E16" s="25" t="s">
        <v>1052</v>
      </c>
      <c r="F16" s="21">
        <v>128</v>
      </c>
    </row>
    <row r="17" spans="1:10" x14ac:dyDescent="0.3">
      <c r="A17" s="25" t="s">
        <v>1061</v>
      </c>
      <c r="B17" s="21">
        <v>67</v>
      </c>
      <c r="C17" s="21">
        <v>67</v>
      </c>
      <c r="E17" s="25" t="s">
        <v>1048</v>
      </c>
      <c r="F17" s="21">
        <v>141</v>
      </c>
    </row>
    <row r="18" spans="1:10" x14ac:dyDescent="0.3">
      <c r="A18" s="25" t="s">
        <v>1062</v>
      </c>
      <c r="B18" s="21">
        <v>64</v>
      </c>
      <c r="C18" s="21">
        <v>64</v>
      </c>
      <c r="E18" s="25" t="s">
        <v>1050</v>
      </c>
      <c r="F18" s="21">
        <v>161</v>
      </c>
    </row>
    <row r="19" spans="1:10" x14ac:dyDescent="0.3">
      <c r="A19" s="25" t="s">
        <v>1063</v>
      </c>
      <c r="B19" s="21">
        <v>50</v>
      </c>
      <c r="C19" s="21">
        <v>50</v>
      </c>
      <c r="E19" s="25" t="s">
        <v>1047</v>
      </c>
      <c r="F19" s="21">
        <v>1000</v>
      </c>
    </row>
    <row r="20" spans="1:10" x14ac:dyDescent="0.3">
      <c r="A20" s="25" t="s">
        <v>1064</v>
      </c>
      <c r="B20" s="21">
        <v>76</v>
      </c>
      <c r="C20" s="21">
        <v>76</v>
      </c>
    </row>
    <row r="21" spans="1:10" x14ac:dyDescent="0.3">
      <c r="A21" s="25" t="s">
        <v>1065</v>
      </c>
      <c r="B21" s="21">
        <v>114</v>
      </c>
      <c r="C21" s="21">
        <v>114</v>
      </c>
    </row>
    <row r="22" spans="1:10" x14ac:dyDescent="0.3">
      <c r="A22" s="25" t="s">
        <v>1066</v>
      </c>
      <c r="B22" s="21">
        <v>57</v>
      </c>
      <c r="C22" s="21">
        <v>57</v>
      </c>
    </row>
    <row r="23" spans="1:10" x14ac:dyDescent="0.3">
      <c r="A23" s="25" t="s">
        <v>1067</v>
      </c>
      <c r="B23" s="21">
        <v>53</v>
      </c>
      <c r="C23" s="21">
        <v>53</v>
      </c>
    </row>
    <row r="24" spans="1:10" x14ac:dyDescent="0.3">
      <c r="A24" s="25" t="s">
        <v>1047</v>
      </c>
      <c r="B24" s="21">
        <v>1000</v>
      </c>
      <c r="C24" s="21">
        <v>1000</v>
      </c>
      <c r="I24" t="s">
        <v>1075</v>
      </c>
      <c r="J24" t="str">
        <f>A38</f>
        <v>R01</v>
      </c>
    </row>
    <row r="27" spans="1:10" x14ac:dyDescent="0.3">
      <c r="E27" t="s">
        <v>1069</v>
      </c>
    </row>
    <row r="28" spans="1:10" x14ac:dyDescent="0.3">
      <c r="A28" s="24" t="s">
        <v>1046</v>
      </c>
      <c r="B28" t="s">
        <v>1041</v>
      </c>
      <c r="C28" t="s">
        <v>1042</v>
      </c>
      <c r="E28" t="s">
        <v>1070</v>
      </c>
      <c r="F28" t="s">
        <v>1071</v>
      </c>
      <c r="G28" t="s">
        <v>1072</v>
      </c>
      <c r="H28" t="s">
        <v>1073</v>
      </c>
      <c r="I28" t="s">
        <v>1074</v>
      </c>
    </row>
    <row r="29" spans="1:10" x14ac:dyDescent="0.3">
      <c r="A29" s="25" t="s">
        <v>11</v>
      </c>
      <c r="B29" s="21">
        <v>189</v>
      </c>
      <c r="C29" s="27">
        <v>18415</v>
      </c>
      <c r="E29" s="25" t="s">
        <v>11</v>
      </c>
      <c r="F29" s="21">
        <v>189</v>
      </c>
      <c r="G29" s="27">
        <v>18415</v>
      </c>
      <c r="H29">
        <f>IF(E29=$J$24,F29,NA())</f>
        <v>189</v>
      </c>
      <c r="I29">
        <f>IF(E29=$J$24,G29,NA())</f>
        <v>18415</v>
      </c>
    </row>
    <row r="30" spans="1:10" x14ac:dyDescent="0.3">
      <c r="A30" s="25" t="s">
        <v>9</v>
      </c>
      <c r="B30" s="21">
        <v>218</v>
      </c>
      <c r="C30" s="27">
        <v>20581</v>
      </c>
      <c r="E30" s="25" t="s">
        <v>9</v>
      </c>
      <c r="F30" s="21">
        <v>218</v>
      </c>
      <c r="G30" s="27">
        <v>20581</v>
      </c>
      <c r="H30" t="e">
        <f t="shared" ref="H30:H33" si="0">IF(E30=$J$24,F30,NA())</f>
        <v>#N/A</v>
      </c>
      <c r="I30" t="e">
        <f t="shared" ref="I30:I33" si="1">IF(E30=$J$24,G30,NA())</f>
        <v>#N/A</v>
      </c>
    </row>
    <row r="31" spans="1:10" x14ac:dyDescent="0.3">
      <c r="A31" s="25" t="s">
        <v>6</v>
      </c>
      <c r="B31" s="21">
        <v>207</v>
      </c>
      <c r="C31" s="27">
        <v>20872</v>
      </c>
      <c r="E31" s="25" t="s">
        <v>6</v>
      </c>
      <c r="F31" s="21">
        <v>207</v>
      </c>
      <c r="G31" s="27">
        <v>20872</v>
      </c>
      <c r="H31" t="e">
        <f t="shared" si="0"/>
        <v>#N/A</v>
      </c>
      <c r="I31" t="e">
        <f t="shared" si="1"/>
        <v>#N/A</v>
      </c>
    </row>
    <row r="32" spans="1:10" x14ac:dyDescent="0.3">
      <c r="A32" s="25" t="s">
        <v>13</v>
      </c>
      <c r="B32" s="21">
        <v>186</v>
      </c>
      <c r="C32" s="27">
        <v>16651</v>
      </c>
      <c r="E32" s="25" t="s">
        <v>13</v>
      </c>
      <c r="F32" s="21">
        <v>186</v>
      </c>
      <c r="G32" s="27">
        <v>16651</v>
      </c>
      <c r="H32" t="e">
        <f t="shared" si="0"/>
        <v>#N/A</v>
      </c>
      <c r="I32" t="e">
        <f t="shared" si="1"/>
        <v>#N/A</v>
      </c>
    </row>
    <row r="33" spans="1:9" x14ac:dyDescent="0.3">
      <c r="A33" s="25" t="s">
        <v>10</v>
      </c>
      <c r="B33" s="21">
        <v>200</v>
      </c>
      <c r="C33" s="27">
        <v>20104</v>
      </c>
      <c r="E33" s="25" t="s">
        <v>10</v>
      </c>
      <c r="F33" s="21">
        <v>200</v>
      </c>
      <c r="G33" s="27">
        <v>20104</v>
      </c>
      <c r="H33" t="e">
        <f t="shared" si="0"/>
        <v>#N/A</v>
      </c>
      <c r="I33" t="e">
        <f t="shared" si="1"/>
        <v>#N/A</v>
      </c>
    </row>
    <row r="34" spans="1:9" x14ac:dyDescent="0.3">
      <c r="A34" s="25" t="s">
        <v>1047</v>
      </c>
      <c r="B34" s="21">
        <v>1000</v>
      </c>
      <c r="C34" s="27">
        <v>96623</v>
      </c>
    </row>
    <row r="37" spans="1:9" x14ac:dyDescent="0.3">
      <c r="A37" s="24" t="s">
        <v>1046</v>
      </c>
      <c r="C37" t="s">
        <v>1077</v>
      </c>
    </row>
    <row r="38" spans="1:9" x14ac:dyDescent="0.3">
      <c r="A38" s="28" t="s">
        <v>11</v>
      </c>
    </row>
    <row r="39" spans="1:9" x14ac:dyDescent="0.3">
      <c r="A39" s="28" t="s">
        <v>9</v>
      </c>
      <c r="C39" t="s">
        <v>1078</v>
      </c>
      <c r="D39" s="42">
        <f>A8/A4</f>
        <v>1</v>
      </c>
    </row>
    <row r="40" spans="1:9" x14ac:dyDescent="0.3">
      <c r="A40" s="28" t="s">
        <v>6</v>
      </c>
      <c r="C40" t="s">
        <v>1080</v>
      </c>
      <c r="D40">
        <f>_xlfn.XLOOKUP(A38,E29:E33,F29:F33)</f>
        <v>189</v>
      </c>
    </row>
    <row r="41" spans="1:9" x14ac:dyDescent="0.3">
      <c r="A41" s="28" t="s">
        <v>13</v>
      </c>
      <c r="C41" t="s">
        <v>1072</v>
      </c>
      <c r="D41">
        <f>_xlfn.XLOOKUP(A38,E29:E33,G29:G33)</f>
        <v>18415</v>
      </c>
    </row>
    <row r="42" spans="1:9" x14ac:dyDescent="0.3">
      <c r="A42" s="28" t="s">
        <v>10</v>
      </c>
    </row>
    <row r="43" spans="1:9" x14ac:dyDescent="0.3">
      <c r="C43" t="s">
        <v>1079</v>
      </c>
      <c r="D43">
        <f>_xlfn.RANK.AVG(D40,F29:F33)</f>
        <v>4</v>
      </c>
    </row>
    <row r="44" spans="1:9" x14ac:dyDescent="0.3">
      <c r="C44" t="s">
        <v>1081</v>
      </c>
      <c r="D44">
        <f>_xlfn.RANK.AVG(D41,G29:G33)</f>
        <v>4</v>
      </c>
    </row>
    <row r="45" spans="1:9" x14ac:dyDescent="0.3">
      <c r="C45" t="s">
        <v>1082</v>
      </c>
    </row>
    <row r="46" spans="1:9" x14ac:dyDescent="0.3">
      <c r="D46" t="str">
        <f>"%ofcalls:"&amp;TEXT(D39,"0%")</f>
        <v>%ofcalls:100%</v>
      </c>
      <c r="F46" t="s">
        <v>1083</v>
      </c>
    </row>
    <row r="47" spans="1:9" x14ac:dyDescent="0.3">
      <c r="D47" t="str">
        <f>IF(COUNTA(A38:A42)&gt;1,"","call rank:"&amp;D43)</f>
        <v/>
      </c>
    </row>
    <row r="48" spans="1:9" x14ac:dyDescent="0.3">
      <c r="D48" t="str">
        <f>IF(COUNTA(A38:A42)&gt;1,"","amount rank:"&amp;D44)</f>
        <v/>
      </c>
    </row>
    <row r="50" spans="1:4" x14ac:dyDescent="0.3">
      <c r="A50" s="24" t="s">
        <v>1041</v>
      </c>
      <c r="B50" s="24" t="s">
        <v>1055</v>
      </c>
    </row>
    <row r="51" spans="1:4" x14ac:dyDescent="0.3">
      <c r="A51" s="24" t="s">
        <v>1046</v>
      </c>
      <c r="B51" t="s">
        <v>998</v>
      </c>
      <c r="C51" t="s">
        <v>997</v>
      </c>
      <c r="D51" t="s">
        <v>1047</v>
      </c>
    </row>
    <row r="52" spans="1:4" x14ac:dyDescent="0.3">
      <c r="A52" s="25" t="s">
        <v>1001</v>
      </c>
      <c r="B52" s="21">
        <v>144</v>
      </c>
      <c r="C52" s="21">
        <v>132</v>
      </c>
      <c r="D52" s="21">
        <v>276</v>
      </c>
    </row>
    <row r="53" spans="1:4" x14ac:dyDescent="0.3">
      <c r="A53" s="25" t="s">
        <v>1000</v>
      </c>
      <c r="B53" s="21">
        <v>326</v>
      </c>
      <c r="C53" s="21">
        <v>63</v>
      </c>
      <c r="D53" s="21">
        <v>389</v>
      </c>
    </row>
    <row r="54" spans="1:4" x14ac:dyDescent="0.3">
      <c r="A54" s="25" t="s">
        <v>999</v>
      </c>
      <c r="B54" s="21">
        <v>129</v>
      </c>
      <c r="C54" s="21">
        <v>206</v>
      </c>
      <c r="D54" s="21">
        <v>335</v>
      </c>
    </row>
    <row r="55" spans="1:4" x14ac:dyDescent="0.3">
      <c r="A55" s="25" t="s">
        <v>1047</v>
      </c>
      <c r="B55" s="21">
        <v>599</v>
      </c>
      <c r="C55" s="21">
        <v>401</v>
      </c>
      <c r="D55" s="21">
        <v>1000</v>
      </c>
    </row>
    <row r="59" spans="1:4" x14ac:dyDescent="0.3">
      <c r="A59" s="24" t="s">
        <v>1046</v>
      </c>
      <c r="B59" t="s">
        <v>1041</v>
      </c>
    </row>
    <row r="60" spans="1:4" x14ac:dyDescent="0.3">
      <c r="A60" s="25">
        <v>0</v>
      </c>
      <c r="B60" s="21">
        <v>1</v>
      </c>
    </row>
    <row r="61" spans="1:4" x14ac:dyDescent="0.3">
      <c r="A61" s="25">
        <v>1</v>
      </c>
      <c r="B61" s="21">
        <v>8</v>
      </c>
    </row>
    <row r="62" spans="1:4" x14ac:dyDescent="0.3">
      <c r="A62" s="25">
        <v>2</v>
      </c>
      <c r="B62" s="21">
        <v>59</v>
      </c>
    </row>
    <row r="63" spans="1:4" x14ac:dyDescent="0.3">
      <c r="A63" s="25">
        <v>3</v>
      </c>
      <c r="B63" s="21">
        <v>197</v>
      </c>
    </row>
    <row r="64" spans="1:4" x14ac:dyDescent="0.3">
      <c r="A64" s="25">
        <v>4</v>
      </c>
      <c r="B64" s="21">
        <v>428</v>
      </c>
    </row>
    <row r="65" spans="1:7" x14ac:dyDescent="0.3">
      <c r="A65" s="25">
        <v>5</v>
      </c>
      <c r="B65" s="21">
        <v>307</v>
      </c>
    </row>
    <row r="66" spans="1:7" x14ac:dyDescent="0.3">
      <c r="A66" s="25" t="s">
        <v>1047</v>
      </c>
      <c r="B66" s="21">
        <v>1000</v>
      </c>
    </row>
    <row r="68" spans="1:7" x14ac:dyDescent="0.3">
      <c r="A68" s="24" t="s">
        <v>1042</v>
      </c>
      <c r="B68" s="24" t="s">
        <v>1055</v>
      </c>
    </row>
    <row r="69" spans="1:7" x14ac:dyDescent="0.3">
      <c r="A69" s="24" t="s">
        <v>1046</v>
      </c>
      <c r="B69" t="s">
        <v>11</v>
      </c>
      <c r="C69" t="s">
        <v>9</v>
      </c>
      <c r="D69" t="s">
        <v>6</v>
      </c>
      <c r="E69" t="s">
        <v>13</v>
      </c>
      <c r="F69" t="s">
        <v>10</v>
      </c>
      <c r="G69" t="s">
        <v>1047</v>
      </c>
    </row>
    <row r="70" spans="1:7" x14ac:dyDescent="0.3">
      <c r="A70" s="25" t="s">
        <v>1001</v>
      </c>
      <c r="B70" s="29"/>
      <c r="C70" s="29"/>
      <c r="D70" s="29"/>
      <c r="E70" s="29"/>
      <c r="F70" s="29"/>
      <c r="G70" s="29"/>
    </row>
    <row r="71" spans="1:7" x14ac:dyDescent="0.3">
      <c r="A71" s="26" t="s">
        <v>20</v>
      </c>
      <c r="B71" s="22">
        <v>891</v>
      </c>
      <c r="C71" s="22">
        <v>1332</v>
      </c>
      <c r="D71" s="22">
        <v>1282</v>
      </c>
      <c r="E71" s="22">
        <v>739</v>
      </c>
      <c r="F71" s="22">
        <v>560</v>
      </c>
      <c r="G71" s="22">
        <v>4804</v>
      </c>
    </row>
    <row r="72" spans="1:7" x14ac:dyDescent="0.3">
      <c r="A72" s="26" t="s">
        <v>12</v>
      </c>
      <c r="B72" s="22">
        <v>1991</v>
      </c>
      <c r="C72" s="22">
        <v>1886</v>
      </c>
      <c r="D72" s="22">
        <v>1206</v>
      </c>
      <c r="E72" s="22">
        <v>884</v>
      </c>
      <c r="F72" s="22">
        <v>1722</v>
      </c>
      <c r="G72" s="22">
        <v>7689</v>
      </c>
    </row>
    <row r="73" spans="1:7" x14ac:dyDescent="0.3">
      <c r="A73" s="26" t="s">
        <v>8</v>
      </c>
      <c r="B73" s="22">
        <v>1163</v>
      </c>
      <c r="C73" s="22">
        <v>1180</v>
      </c>
      <c r="D73" s="22">
        <v>1616</v>
      </c>
      <c r="E73" s="22">
        <v>1043</v>
      </c>
      <c r="F73" s="22">
        <v>1747</v>
      </c>
      <c r="G73" s="22">
        <v>6749</v>
      </c>
    </row>
    <row r="74" spans="1:7" x14ac:dyDescent="0.3">
      <c r="A74" s="26" t="s">
        <v>16</v>
      </c>
      <c r="B74" s="22">
        <v>1438</v>
      </c>
      <c r="C74" s="22">
        <v>1616</v>
      </c>
      <c r="D74" s="22">
        <v>866</v>
      </c>
      <c r="E74" s="22">
        <v>829</v>
      </c>
      <c r="F74" s="22">
        <v>2070</v>
      </c>
      <c r="G74" s="22">
        <v>6819</v>
      </c>
    </row>
    <row r="75" spans="1:7" x14ac:dyDescent="0.3">
      <c r="A75" s="25" t="s">
        <v>1000</v>
      </c>
      <c r="B75" s="29"/>
      <c r="C75" s="29"/>
      <c r="D75" s="29"/>
      <c r="E75" s="29"/>
      <c r="F75" s="29"/>
      <c r="G75" s="29"/>
    </row>
    <row r="76" spans="1:7" x14ac:dyDescent="0.3">
      <c r="A76" s="26" t="s">
        <v>24</v>
      </c>
      <c r="B76" s="22">
        <v>1233</v>
      </c>
      <c r="C76" s="22">
        <v>223</v>
      </c>
      <c r="D76" s="22">
        <v>1680</v>
      </c>
      <c r="E76" s="22">
        <v>990</v>
      </c>
      <c r="F76" s="22">
        <v>1508</v>
      </c>
      <c r="G76" s="22">
        <v>5634</v>
      </c>
    </row>
    <row r="77" spans="1:7" x14ac:dyDescent="0.3">
      <c r="A77" s="26" t="s">
        <v>15</v>
      </c>
      <c r="B77" s="22">
        <v>1598</v>
      </c>
      <c r="C77" s="22">
        <v>1907</v>
      </c>
      <c r="D77" s="22">
        <v>869</v>
      </c>
      <c r="E77" s="22">
        <v>1426</v>
      </c>
      <c r="F77" s="22">
        <v>1416</v>
      </c>
      <c r="G77" s="22">
        <v>7216</v>
      </c>
    </row>
    <row r="78" spans="1:7" x14ac:dyDescent="0.3">
      <c r="A78" s="26" t="s">
        <v>5</v>
      </c>
      <c r="B78" s="22">
        <v>900</v>
      </c>
      <c r="C78" s="22">
        <v>1016</v>
      </c>
      <c r="D78" s="22">
        <v>960</v>
      </c>
      <c r="E78" s="22">
        <v>940</v>
      </c>
      <c r="F78" s="22">
        <v>1193</v>
      </c>
      <c r="G78" s="22">
        <v>5009</v>
      </c>
    </row>
    <row r="79" spans="1:7" x14ac:dyDescent="0.3">
      <c r="A79" s="26" t="s">
        <v>18</v>
      </c>
      <c r="B79" s="22">
        <v>900</v>
      </c>
      <c r="C79" s="22">
        <v>1470</v>
      </c>
      <c r="D79" s="22">
        <v>1617</v>
      </c>
      <c r="E79" s="22">
        <v>1314</v>
      </c>
      <c r="F79" s="22">
        <v>941</v>
      </c>
      <c r="G79" s="22">
        <v>6242</v>
      </c>
    </row>
    <row r="80" spans="1:7" x14ac:dyDescent="0.3">
      <c r="A80" s="26" t="s">
        <v>14</v>
      </c>
      <c r="B80" s="22">
        <v>1255</v>
      </c>
      <c r="C80" s="22">
        <v>516</v>
      </c>
      <c r="D80" s="22">
        <v>1874</v>
      </c>
      <c r="E80" s="22">
        <v>1863</v>
      </c>
      <c r="F80" s="22">
        <v>1722</v>
      </c>
      <c r="G80" s="22">
        <v>7230</v>
      </c>
    </row>
    <row r="81" spans="1:7" x14ac:dyDescent="0.3">
      <c r="A81" s="26" t="s">
        <v>19</v>
      </c>
      <c r="B81" s="22">
        <v>1138</v>
      </c>
      <c r="C81" s="22">
        <v>1898</v>
      </c>
      <c r="D81" s="22">
        <v>1482</v>
      </c>
      <c r="E81" s="22">
        <v>846</v>
      </c>
      <c r="F81" s="22">
        <v>1154</v>
      </c>
      <c r="G81" s="22">
        <v>6518</v>
      </c>
    </row>
    <row r="82" spans="1:7" x14ac:dyDescent="0.3">
      <c r="A82" s="25" t="s">
        <v>999</v>
      </c>
      <c r="B82" s="29"/>
      <c r="C82" s="29"/>
      <c r="D82" s="29"/>
      <c r="E82" s="29"/>
      <c r="F82" s="29"/>
      <c r="G82" s="29"/>
    </row>
    <row r="83" spans="1:7" x14ac:dyDescent="0.3">
      <c r="A83" s="26" t="s">
        <v>17</v>
      </c>
      <c r="B83" s="22">
        <v>1655</v>
      </c>
      <c r="C83" s="22">
        <v>805</v>
      </c>
      <c r="D83" s="22">
        <v>2263</v>
      </c>
      <c r="E83" s="22">
        <v>987</v>
      </c>
      <c r="F83" s="22">
        <v>1075</v>
      </c>
      <c r="G83" s="22">
        <v>6785</v>
      </c>
    </row>
    <row r="84" spans="1:7" x14ac:dyDescent="0.3">
      <c r="A84" s="26" t="s">
        <v>23</v>
      </c>
      <c r="B84" s="22">
        <v>1104</v>
      </c>
      <c r="C84" s="22">
        <v>2280</v>
      </c>
      <c r="D84" s="22">
        <v>1445</v>
      </c>
      <c r="E84" s="22">
        <v>1722</v>
      </c>
      <c r="F84" s="22">
        <v>1196</v>
      </c>
      <c r="G84" s="22">
        <v>7747</v>
      </c>
    </row>
    <row r="85" spans="1:7" x14ac:dyDescent="0.3">
      <c r="A85" s="26" t="s">
        <v>7</v>
      </c>
      <c r="B85" s="22">
        <v>372</v>
      </c>
      <c r="C85" s="22">
        <v>1818</v>
      </c>
      <c r="D85" s="22">
        <v>1346</v>
      </c>
      <c r="E85" s="22">
        <v>1156</v>
      </c>
      <c r="F85" s="22">
        <v>1484</v>
      </c>
      <c r="G85" s="22">
        <v>6176</v>
      </c>
    </row>
    <row r="86" spans="1:7" x14ac:dyDescent="0.3">
      <c r="A86" s="26" t="s">
        <v>22</v>
      </c>
      <c r="B86" s="22">
        <v>1415</v>
      </c>
      <c r="C86" s="22">
        <v>1271</v>
      </c>
      <c r="D86" s="22">
        <v>1214</v>
      </c>
      <c r="E86" s="22">
        <v>1135</v>
      </c>
      <c r="F86" s="22">
        <v>1566</v>
      </c>
      <c r="G86" s="22">
        <v>6601</v>
      </c>
    </row>
    <row r="87" spans="1:7" x14ac:dyDescent="0.3">
      <c r="A87" s="26" t="s">
        <v>21</v>
      </c>
      <c r="B87" s="22">
        <v>1362</v>
      </c>
      <c r="C87" s="22">
        <v>1363</v>
      </c>
      <c r="D87" s="22">
        <v>1152</v>
      </c>
      <c r="E87" s="22">
        <v>777</v>
      </c>
      <c r="F87" s="22">
        <v>750</v>
      </c>
      <c r="G87"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115" zoomScaleNormal="115" workbookViewId="0">
      <selection activeCell="U6" sqref="U6"/>
    </sheetView>
  </sheetViews>
  <sheetFormatPr defaultRowHeight="15.05"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05" customHeight="1" x14ac:dyDescent="0.3">
      <c r="B1" s="5" t="s">
        <v>1002</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1076</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2EAE-DE7F-4298-BE7C-3AB6B38991CD}">
  <dimension ref="A1:Z368"/>
  <sheetViews>
    <sheetView tabSelected="1" topLeftCell="A11" zoomScale="97" workbookViewId="0">
      <selection activeCell="N31" sqref="N31"/>
    </sheetView>
  </sheetViews>
  <sheetFormatPr defaultRowHeight="15.05" x14ac:dyDescent="0.3"/>
  <cols>
    <col min="1" max="1" width="3" customWidth="1"/>
    <col min="2" max="2" width="2.8984375" customWidth="1"/>
    <col min="5" max="5" width="3" customWidth="1"/>
    <col min="15" max="15" width="3" customWidth="1"/>
    <col min="19" max="19" width="7.69921875" customWidth="1"/>
  </cols>
  <sheetData>
    <row r="1" spans="1:26" x14ac:dyDescent="0.3">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30"/>
      <c r="Q18" s="31" t="str" cm="1">
        <f t="array" ref="Q18:V18">pivot!B69:G69</f>
        <v>R01</v>
      </c>
      <c r="R18" s="31" t="str">
        <v>R02</v>
      </c>
      <c r="S18" s="31" t="str">
        <v>R03</v>
      </c>
      <c r="T18" s="31" t="str">
        <v>R04</v>
      </c>
      <c r="U18" s="31" t="str">
        <v>R05</v>
      </c>
      <c r="V18" s="32" t="str">
        <v>Grand Total</v>
      </c>
      <c r="W18" s="20"/>
      <c r="X18" s="20"/>
      <c r="Y18" s="20"/>
      <c r="Z18" s="20"/>
    </row>
    <row r="19" spans="1:26" x14ac:dyDescent="0.3">
      <c r="A19" s="20"/>
      <c r="B19" s="20"/>
      <c r="C19" s="20"/>
      <c r="D19" s="20"/>
      <c r="E19" s="20"/>
      <c r="F19" s="20"/>
      <c r="G19" s="20"/>
      <c r="H19" s="20"/>
      <c r="I19" s="20"/>
      <c r="J19" s="20"/>
      <c r="K19" s="20"/>
      <c r="L19" s="20"/>
      <c r="M19" s="20"/>
      <c r="N19" s="20"/>
      <c r="O19" s="20"/>
      <c r="P19" s="33" t="s">
        <v>1001</v>
      </c>
      <c r="Q19" s="34"/>
      <c r="R19" s="34"/>
      <c r="S19" s="34"/>
      <c r="T19" s="34"/>
      <c r="U19" s="34"/>
      <c r="V19" s="35"/>
      <c r="W19" s="20"/>
      <c r="X19" s="20"/>
      <c r="Y19" s="20"/>
      <c r="Z19" s="20"/>
    </row>
    <row r="20" spans="1:26" x14ac:dyDescent="0.3">
      <c r="A20" s="20"/>
      <c r="B20" s="20"/>
      <c r="C20" s="20"/>
      <c r="D20" s="20"/>
      <c r="E20" s="20"/>
      <c r="F20" s="20"/>
      <c r="G20" s="20"/>
      <c r="H20" s="20"/>
      <c r="I20" s="20"/>
      <c r="J20" s="20"/>
      <c r="K20" s="20"/>
      <c r="L20" s="20"/>
      <c r="M20" s="20"/>
      <c r="N20" s="20"/>
      <c r="O20" s="20"/>
      <c r="P20" s="36" t="s">
        <v>20</v>
      </c>
      <c r="Q20" s="37">
        <v>891</v>
      </c>
      <c r="R20" s="37">
        <v>1332</v>
      </c>
      <c r="S20" s="37">
        <v>1282</v>
      </c>
      <c r="T20" s="37">
        <v>739</v>
      </c>
      <c r="U20" s="37">
        <v>560</v>
      </c>
      <c r="V20" s="38">
        <v>4804</v>
      </c>
      <c r="W20" s="20"/>
      <c r="X20" s="20"/>
      <c r="Y20" s="20"/>
      <c r="Z20" s="20"/>
    </row>
    <row r="21" spans="1:26" x14ac:dyDescent="0.3">
      <c r="A21" s="20"/>
      <c r="B21" s="20"/>
      <c r="C21" s="20"/>
      <c r="D21" s="20"/>
      <c r="E21" s="20"/>
      <c r="F21" s="20"/>
      <c r="G21" s="20"/>
      <c r="H21" s="20"/>
      <c r="I21" s="20"/>
      <c r="J21" s="20"/>
      <c r="K21" s="20"/>
      <c r="L21" s="20"/>
      <c r="M21" s="20"/>
      <c r="N21" s="20"/>
      <c r="O21" s="20"/>
      <c r="P21" s="36" t="s">
        <v>12</v>
      </c>
      <c r="Q21" s="37">
        <v>1991</v>
      </c>
      <c r="R21" s="37">
        <v>1886</v>
      </c>
      <c r="S21" s="37">
        <v>1206</v>
      </c>
      <c r="T21" s="37">
        <v>884</v>
      </c>
      <c r="U21" s="37">
        <v>1722</v>
      </c>
      <c r="V21" s="38">
        <v>7689</v>
      </c>
      <c r="W21" s="20"/>
      <c r="X21" s="20"/>
      <c r="Y21" s="20"/>
      <c r="Z21" s="20"/>
    </row>
    <row r="22" spans="1:26" x14ac:dyDescent="0.3">
      <c r="A22" s="20"/>
      <c r="B22" s="20"/>
      <c r="C22" s="20"/>
      <c r="D22" s="20"/>
      <c r="E22" s="20"/>
      <c r="F22" s="20"/>
      <c r="G22" s="20"/>
      <c r="H22" s="20"/>
      <c r="I22" s="20"/>
      <c r="J22" s="20"/>
      <c r="K22" s="20"/>
      <c r="L22" s="20"/>
      <c r="M22" s="20"/>
      <c r="N22" s="20"/>
      <c r="O22" s="20"/>
      <c r="P22" s="36" t="s">
        <v>8</v>
      </c>
      <c r="Q22" s="37">
        <v>1163</v>
      </c>
      <c r="R22" s="37">
        <v>1180</v>
      </c>
      <c r="S22" s="37">
        <v>1616</v>
      </c>
      <c r="T22" s="37">
        <v>1043</v>
      </c>
      <c r="U22" s="37">
        <v>1747</v>
      </c>
      <c r="V22" s="38">
        <v>6749</v>
      </c>
      <c r="W22" s="20"/>
      <c r="X22" s="20"/>
      <c r="Y22" s="20"/>
      <c r="Z22" s="20"/>
    </row>
    <row r="23" spans="1:26" x14ac:dyDescent="0.3">
      <c r="A23" s="20"/>
      <c r="B23" s="20"/>
      <c r="C23" s="20"/>
      <c r="D23" s="20"/>
      <c r="E23" s="20"/>
      <c r="F23" s="20"/>
      <c r="G23" s="20"/>
      <c r="H23" s="20"/>
      <c r="I23" s="20"/>
      <c r="J23" s="20"/>
      <c r="K23" s="20"/>
      <c r="L23" s="20"/>
      <c r="M23" s="20"/>
      <c r="N23" s="20"/>
      <c r="O23" s="20"/>
      <c r="P23" s="36" t="s">
        <v>16</v>
      </c>
      <c r="Q23" s="37">
        <v>1438</v>
      </c>
      <c r="R23" s="37">
        <v>1616</v>
      </c>
      <c r="S23" s="37">
        <v>866</v>
      </c>
      <c r="T23" s="37">
        <v>829</v>
      </c>
      <c r="U23" s="37">
        <v>2070</v>
      </c>
      <c r="V23" s="38">
        <v>6819</v>
      </c>
      <c r="W23" s="20"/>
      <c r="X23" s="20"/>
      <c r="Y23" s="20"/>
      <c r="Z23" s="20"/>
    </row>
    <row r="24" spans="1:26" x14ac:dyDescent="0.3">
      <c r="A24" s="20"/>
      <c r="B24" s="20"/>
      <c r="C24" s="20"/>
      <c r="D24" s="20"/>
      <c r="E24" s="20"/>
      <c r="F24" s="20"/>
      <c r="G24" s="20"/>
      <c r="H24" s="20"/>
      <c r="I24" s="20"/>
      <c r="J24" s="20"/>
      <c r="K24" s="20"/>
      <c r="L24" s="20"/>
      <c r="M24" s="20"/>
      <c r="N24" s="20"/>
      <c r="O24" s="20"/>
      <c r="P24" s="33" t="s">
        <v>1000</v>
      </c>
      <c r="Q24" s="34"/>
      <c r="R24" s="34"/>
      <c r="S24" s="34"/>
      <c r="T24" s="34"/>
      <c r="U24" s="34"/>
      <c r="V24" s="35"/>
      <c r="W24" s="20"/>
      <c r="X24" s="20"/>
      <c r="Y24" s="20"/>
      <c r="Z24" s="20"/>
    </row>
    <row r="25" spans="1:26" x14ac:dyDescent="0.3">
      <c r="A25" s="20"/>
      <c r="B25" s="20"/>
      <c r="C25" s="20"/>
      <c r="D25" s="20"/>
      <c r="E25" s="20"/>
      <c r="F25" s="20"/>
      <c r="G25" s="20"/>
      <c r="H25" s="20"/>
      <c r="I25" s="20"/>
      <c r="J25" s="20"/>
      <c r="K25" s="20"/>
      <c r="L25" s="20"/>
      <c r="M25" s="20"/>
      <c r="N25" s="20"/>
      <c r="O25" s="20"/>
      <c r="P25" s="36" t="s">
        <v>24</v>
      </c>
      <c r="Q25" s="37">
        <v>1233</v>
      </c>
      <c r="R25" s="37">
        <v>223</v>
      </c>
      <c r="S25" s="37">
        <v>1680</v>
      </c>
      <c r="T25" s="37">
        <v>990</v>
      </c>
      <c r="U25" s="37">
        <v>1508</v>
      </c>
      <c r="V25" s="38">
        <v>5634</v>
      </c>
      <c r="W25" s="20"/>
      <c r="X25" s="20"/>
      <c r="Y25" s="20"/>
      <c r="Z25" s="20"/>
    </row>
    <row r="26" spans="1:26" x14ac:dyDescent="0.3">
      <c r="A26" s="20"/>
      <c r="B26" s="20"/>
      <c r="C26" s="20"/>
      <c r="D26" s="20"/>
      <c r="E26" s="20"/>
      <c r="F26" s="20"/>
      <c r="G26" s="20"/>
      <c r="H26" s="20"/>
      <c r="I26" s="20"/>
      <c r="J26" s="20"/>
      <c r="K26" s="20"/>
      <c r="L26" s="20"/>
      <c r="M26" s="20"/>
      <c r="N26" s="20"/>
      <c r="O26" s="20"/>
      <c r="P26" s="36" t="s">
        <v>15</v>
      </c>
      <c r="Q26" s="37">
        <v>1598</v>
      </c>
      <c r="R26" s="37">
        <v>1907</v>
      </c>
      <c r="S26" s="37">
        <v>869</v>
      </c>
      <c r="T26" s="37">
        <v>1426</v>
      </c>
      <c r="U26" s="37">
        <v>1416</v>
      </c>
      <c r="V26" s="38">
        <v>7216</v>
      </c>
      <c r="W26" s="20"/>
      <c r="X26" s="20"/>
      <c r="Y26" s="20"/>
      <c r="Z26" s="20"/>
    </row>
    <row r="27" spans="1:26" x14ac:dyDescent="0.3">
      <c r="A27" s="20"/>
      <c r="B27" s="20"/>
      <c r="C27" s="20"/>
      <c r="D27" s="20"/>
      <c r="E27" s="20"/>
      <c r="F27" s="20"/>
      <c r="G27" s="20"/>
      <c r="H27" s="20"/>
      <c r="I27" s="20"/>
      <c r="J27" s="20"/>
      <c r="K27" s="20"/>
      <c r="L27" s="20"/>
      <c r="M27" s="20"/>
      <c r="N27" s="20"/>
      <c r="O27" s="20"/>
      <c r="P27" s="36" t="s">
        <v>5</v>
      </c>
      <c r="Q27" s="37">
        <v>900</v>
      </c>
      <c r="R27" s="37">
        <v>1016</v>
      </c>
      <c r="S27" s="37">
        <v>960</v>
      </c>
      <c r="T27" s="37">
        <v>940</v>
      </c>
      <c r="U27" s="37">
        <v>1193</v>
      </c>
      <c r="V27" s="38">
        <v>5009</v>
      </c>
      <c r="W27" s="20"/>
      <c r="X27" s="20"/>
      <c r="Y27" s="20"/>
      <c r="Z27" s="20"/>
    </row>
    <row r="28" spans="1:26" x14ac:dyDescent="0.3">
      <c r="A28" s="20"/>
      <c r="B28" s="20"/>
      <c r="C28" s="20"/>
      <c r="D28" s="20"/>
      <c r="E28" s="20"/>
      <c r="F28" s="20"/>
      <c r="G28" s="20"/>
      <c r="H28" s="20"/>
      <c r="I28" s="20"/>
      <c r="J28" s="20"/>
      <c r="K28" s="20"/>
      <c r="L28" s="20"/>
      <c r="M28" s="20"/>
      <c r="N28" s="20"/>
      <c r="O28" s="20"/>
      <c r="P28" s="36" t="s">
        <v>18</v>
      </c>
      <c r="Q28" s="37">
        <v>900</v>
      </c>
      <c r="R28" s="37">
        <v>1470</v>
      </c>
      <c r="S28" s="37">
        <v>1617</v>
      </c>
      <c r="T28" s="37">
        <v>1314</v>
      </c>
      <c r="U28" s="37">
        <v>941</v>
      </c>
      <c r="V28" s="38">
        <v>6242</v>
      </c>
      <c r="W28" s="20"/>
      <c r="X28" s="20"/>
      <c r="Y28" s="20"/>
      <c r="Z28" s="20"/>
    </row>
    <row r="29" spans="1:26" x14ac:dyDescent="0.3">
      <c r="A29" s="20"/>
      <c r="B29" s="20"/>
      <c r="C29" s="20"/>
      <c r="D29" s="20"/>
      <c r="E29" s="20"/>
      <c r="F29" s="20"/>
      <c r="G29" s="20"/>
      <c r="H29" s="20"/>
      <c r="I29" s="20"/>
      <c r="J29" s="20"/>
      <c r="K29" s="20"/>
      <c r="L29" s="20"/>
      <c r="M29" s="20"/>
      <c r="N29" s="20"/>
      <c r="O29" s="20"/>
      <c r="P29" s="36" t="s">
        <v>14</v>
      </c>
      <c r="Q29" s="37">
        <v>1255</v>
      </c>
      <c r="R29" s="37">
        <v>516</v>
      </c>
      <c r="S29" s="37">
        <v>1874</v>
      </c>
      <c r="T29" s="37">
        <v>1863</v>
      </c>
      <c r="U29" s="37">
        <v>1722</v>
      </c>
      <c r="V29" s="38">
        <v>7230</v>
      </c>
      <c r="W29" s="20"/>
      <c r="X29" s="20"/>
      <c r="Y29" s="20"/>
      <c r="Z29" s="20"/>
    </row>
    <row r="30" spans="1:26" x14ac:dyDescent="0.3">
      <c r="A30" s="20"/>
      <c r="B30" s="20"/>
      <c r="C30" s="20"/>
      <c r="D30" s="20"/>
      <c r="E30" s="20"/>
      <c r="F30" s="20"/>
      <c r="G30" s="20"/>
      <c r="H30" s="20"/>
      <c r="I30" s="20"/>
      <c r="J30" s="20"/>
      <c r="K30" s="20"/>
      <c r="L30" s="20"/>
      <c r="M30" s="20"/>
      <c r="N30" s="20"/>
      <c r="O30" s="20"/>
      <c r="P30" s="36" t="s">
        <v>19</v>
      </c>
      <c r="Q30" s="37">
        <v>1138</v>
      </c>
      <c r="R30" s="37">
        <v>1898</v>
      </c>
      <c r="S30" s="37">
        <v>1482</v>
      </c>
      <c r="T30" s="37">
        <v>846</v>
      </c>
      <c r="U30" s="37">
        <v>1154</v>
      </c>
      <c r="V30" s="38">
        <v>6518</v>
      </c>
      <c r="W30" s="20"/>
      <c r="X30" s="20"/>
      <c r="Y30" s="20"/>
      <c r="Z30" s="20"/>
    </row>
    <row r="31" spans="1:26" x14ac:dyDescent="0.3">
      <c r="A31" s="20"/>
      <c r="B31" s="20"/>
      <c r="C31" s="20"/>
      <c r="D31" s="20"/>
      <c r="E31" s="20"/>
      <c r="F31" s="20"/>
      <c r="G31" s="20"/>
      <c r="H31" s="20"/>
      <c r="I31" s="20"/>
      <c r="J31" s="20"/>
      <c r="K31" s="20"/>
      <c r="L31" s="20"/>
      <c r="M31" s="20"/>
      <c r="N31" s="20"/>
      <c r="O31" s="20"/>
      <c r="P31" s="33" t="s">
        <v>999</v>
      </c>
      <c r="Q31" s="34"/>
      <c r="R31" s="34"/>
      <c r="S31" s="34"/>
      <c r="T31" s="34"/>
      <c r="U31" s="34"/>
      <c r="V31" s="35"/>
      <c r="W31" s="20"/>
      <c r="X31" s="20"/>
      <c r="Y31" s="20"/>
      <c r="Z31" s="20"/>
    </row>
    <row r="32" spans="1:26" x14ac:dyDescent="0.3">
      <c r="A32" s="20"/>
      <c r="B32" s="20"/>
      <c r="C32" s="20"/>
      <c r="D32" s="20"/>
      <c r="E32" s="20"/>
      <c r="F32" s="20"/>
      <c r="G32" s="20"/>
      <c r="H32" s="20"/>
      <c r="I32" s="20"/>
      <c r="J32" s="20"/>
      <c r="K32" s="20"/>
      <c r="L32" s="20"/>
      <c r="M32" s="20"/>
      <c r="N32" s="20"/>
      <c r="O32" s="20"/>
      <c r="P32" s="36" t="s">
        <v>17</v>
      </c>
      <c r="Q32" s="37">
        <v>1655</v>
      </c>
      <c r="R32" s="37">
        <v>805</v>
      </c>
      <c r="S32" s="37">
        <v>2263</v>
      </c>
      <c r="T32" s="37">
        <v>987</v>
      </c>
      <c r="U32" s="37">
        <v>1075</v>
      </c>
      <c r="V32" s="38">
        <v>6785</v>
      </c>
      <c r="W32" s="20"/>
      <c r="X32" s="20"/>
      <c r="Y32" s="20"/>
      <c r="Z32" s="20"/>
    </row>
    <row r="33" spans="1:26" x14ac:dyDescent="0.3">
      <c r="A33" s="20"/>
      <c r="B33" s="20"/>
      <c r="C33" s="20"/>
      <c r="D33" s="20"/>
      <c r="E33" s="20"/>
      <c r="F33" s="20"/>
      <c r="G33" s="20"/>
      <c r="H33" s="20"/>
      <c r="I33" s="20"/>
      <c r="J33" s="20"/>
      <c r="K33" s="20"/>
      <c r="L33" s="20"/>
      <c r="M33" s="43" t="str">
        <f>pivot!D46</f>
        <v>%ofcalls:100%</v>
      </c>
      <c r="N33" s="43"/>
      <c r="O33" s="20"/>
      <c r="P33" s="36" t="s">
        <v>23</v>
      </c>
      <c r="Q33" s="37">
        <v>1104</v>
      </c>
      <c r="R33" s="37">
        <v>2280</v>
      </c>
      <c r="S33" s="37">
        <v>1445</v>
      </c>
      <c r="T33" s="37">
        <v>1722</v>
      </c>
      <c r="U33" s="37">
        <v>1196</v>
      </c>
      <c r="V33" s="38">
        <v>7747</v>
      </c>
      <c r="W33" s="20"/>
      <c r="X33" s="20"/>
      <c r="Y33" s="20"/>
      <c r="Z33" s="20"/>
    </row>
    <row r="34" spans="1:26" x14ac:dyDescent="0.3">
      <c r="A34" s="20"/>
      <c r="B34" s="20"/>
      <c r="C34" s="20"/>
      <c r="D34" s="20"/>
      <c r="E34" s="20"/>
      <c r="F34" s="20"/>
      <c r="G34" s="20"/>
      <c r="H34" s="20"/>
      <c r="I34" s="20"/>
      <c r="J34" s="20"/>
      <c r="K34" s="20"/>
      <c r="L34" s="20"/>
      <c r="M34" s="43" t="str">
        <f>pivot!D47</f>
        <v/>
      </c>
      <c r="N34" s="43"/>
      <c r="O34" s="20"/>
      <c r="P34" s="36" t="s">
        <v>7</v>
      </c>
      <c r="Q34" s="37">
        <v>372</v>
      </c>
      <c r="R34" s="37">
        <v>1818</v>
      </c>
      <c r="S34" s="37">
        <v>1346</v>
      </c>
      <c r="T34" s="37">
        <v>1156</v>
      </c>
      <c r="U34" s="37">
        <v>1484</v>
      </c>
      <c r="V34" s="38">
        <v>6176</v>
      </c>
      <c r="W34" s="20"/>
      <c r="X34" s="20"/>
      <c r="Y34" s="20"/>
      <c r="Z34" s="20"/>
    </row>
    <row r="35" spans="1:26" x14ac:dyDescent="0.3">
      <c r="A35" s="20"/>
      <c r="B35" s="20"/>
      <c r="C35" s="20"/>
      <c r="D35" s="20"/>
      <c r="E35" s="20"/>
      <c r="F35" s="20"/>
      <c r="G35" s="20"/>
      <c r="H35" s="20"/>
      <c r="I35" s="20"/>
      <c r="J35" s="20"/>
      <c r="K35" s="20"/>
      <c r="L35" s="20"/>
      <c r="M35" s="43" t="str">
        <f>pivot!D48</f>
        <v/>
      </c>
      <c r="N35" s="43"/>
      <c r="O35" s="20"/>
      <c r="P35" s="36" t="s">
        <v>22</v>
      </c>
      <c r="Q35" s="37">
        <v>1415</v>
      </c>
      <c r="R35" s="37">
        <v>1271</v>
      </c>
      <c r="S35" s="37">
        <v>1214</v>
      </c>
      <c r="T35" s="37">
        <v>1135</v>
      </c>
      <c r="U35" s="37">
        <v>1566</v>
      </c>
      <c r="V35" s="38">
        <v>6601</v>
      </c>
      <c r="W35" s="20"/>
      <c r="X35" s="20"/>
      <c r="Y35" s="20"/>
      <c r="Z35" s="20"/>
    </row>
    <row r="36" spans="1:26" x14ac:dyDescent="0.3">
      <c r="A36" s="20"/>
      <c r="B36" s="20"/>
      <c r="C36" s="20"/>
      <c r="D36" s="20"/>
      <c r="E36" s="20"/>
      <c r="F36" s="20"/>
      <c r="G36" s="20"/>
      <c r="H36" s="20"/>
      <c r="I36" s="20"/>
      <c r="J36" s="20"/>
      <c r="K36" s="20"/>
      <c r="L36" s="20"/>
      <c r="M36" s="20"/>
      <c r="N36" s="20"/>
      <c r="O36" s="20"/>
      <c r="P36" s="39" t="s">
        <v>21</v>
      </c>
      <c r="Q36" s="40">
        <v>1362</v>
      </c>
      <c r="R36" s="40">
        <v>1363</v>
      </c>
      <c r="S36" s="40">
        <v>1152</v>
      </c>
      <c r="T36" s="40">
        <v>777</v>
      </c>
      <c r="U36" s="40">
        <v>750</v>
      </c>
      <c r="V36" s="41">
        <v>5404</v>
      </c>
      <c r="W36" s="20"/>
      <c r="X36" s="20"/>
      <c r="Y36" s="20"/>
      <c r="Z36" s="20"/>
    </row>
    <row r="37" spans="1:26" x14ac:dyDescent="0.3">
      <c r="A37" s="20"/>
      <c r="B37" s="20"/>
      <c r="C37" s="20"/>
      <c r="D37" s="20"/>
      <c r="E37" s="20"/>
      <c r="F37" s="20"/>
      <c r="G37" s="20"/>
      <c r="H37" s="20"/>
      <c r="I37" s="20"/>
      <c r="J37" s="20"/>
      <c r="K37" s="20"/>
      <c r="L37" s="20"/>
      <c r="M37" s="20"/>
      <c r="N37" s="20"/>
      <c r="O37" s="20"/>
      <c r="W37" s="20"/>
      <c r="X37" s="20"/>
      <c r="Y37" s="20"/>
      <c r="Z37" s="20"/>
    </row>
    <row r="38" spans="1:2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sheetData>
  <mergeCells count="3">
    <mergeCell ref="M33:N33"/>
    <mergeCell ref="M34:N34"/>
    <mergeCell ref="M35:N35"/>
  </mergeCells>
  <conditionalFormatting sqref="Q20:U36">
    <cfRule type="dataBar" priority="2">
      <dataBar>
        <cfvo type="num" val="0"/>
        <cfvo type="formula" val="MAX($Q$20:$U$36)*2"/>
        <color theme="1" tint="0.249977111117893"/>
      </dataBar>
      <extLst>
        <ext xmlns:x14="http://schemas.microsoft.com/office/spreadsheetml/2009/9/main" uri="{B025F937-C7B1-47D3-B67F-A62EFF666E3E}">
          <x14:id>{F25D564C-A2E9-43BB-BF03-0E248BEE929E}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25D564C-A2E9-43BB-BF03-0E248BEE929E}">
            <x14:dataBar minLength="0" maxLength="100" border="1" negativeBarBorderColorSameAsPositive="0">
              <x14:cfvo type="num">
                <xm:f>0</xm:f>
              </x14:cfvo>
              <x14:cfvo type="formula">
                <xm:f>MAX($Q$20:$U$36)*2</xm:f>
              </x14:cfvo>
              <x14:borderColor theme="1" tint="0.249977111117893"/>
              <x14:negativeFillColor rgb="FFFF0000"/>
              <x14:negativeBorderColor rgb="FFFF0000"/>
              <x14:axisColor rgb="FF000000"/>
            </x14:dataBar>
          </x14:cfRule>
          <xm:sqref>Q20:U36</xm:sqref>
        </x14:conditionalFormatting>
        <x14:conditionalFormatting xmlns:xm="http://schemas.microsoft.com/office/excel/2006/main">
          <x14:cfRule type="expression" priority="3" id="{1C81156C-6C2A-4304-BB0F-10AB94BFC991}">
            <xm:f>Q$18=pivot!$A$38</xm:f>
            <x14:dxf>
              <fill>
                <patternFill>
                  <bgColor rgb="FFF08510"/>
                </patternFill>
              </fill>
              <border>
                <left style="thin">
                  <color theme="1"/>
                </left>
                <right style="thin">
                  <color theme="1"/>
                </right>
                <vertical/>
                <horizontal/>
              </border>
            </x14:dxf>
          </x14:cfRule>
          <xm:sqref>Q18:U36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B8" sqref="B8"/>
    </sheetView>
  </sheetViews>
  <sheetFormatPr defaultRowHeight="15.05" x14ac:dyDescent="0.3"/>
  <cols>
    <col min="5" max="5" width="10.8984375" customWidth="1"/>
    <col min="6" max="6" width="9.8984375" customWidth="1"/>
  </cols>
  <sheetData>
    <row r="2" spans="5:6" x14ac:dyDescent="0.3">
      <c r="E2" t="s">
        <v>1039</v>
      </c>
      <c r="F2" t="s">
        <v>1040</v>
      </c>
    </row>
    <row r="3" spans="5:6" ht="25.55" customHeight="1" x14ac:dyDescent="0.3">
      <c r="E3" t="s">
        <v>11</v>
      </c>
      <c r="F3" t="e" vm="1">
        <v>#VALUE!</v>
      </c>
    </row>
    <row r="4" spans="5:6" ht="25.55" customHeight="1" x14ac:dyDescent="0.3">
      <c r="E4" t="s">
        <v>9</v>
      </c>
      <c r="F4" t="e" vm="2">
        <v>#VALUE!</v>
      </c>
    </row>
    <row r="5" spans="5:6" ht="25.55" customHeight="1" x14ac:dyDescent="0.3">
      <c r="E5" t="s">
        <v>6</v>
      </c>
      <c r="F5" t="e" vm="3">
        <v>#VALUE!</v>
      </c>
    </row>
    <row r="6" spans="5:6" ht="25.55" customHeight="1" x14ac:dyDescent="0.3">
      <c r="E6" t="s">
        <v>13</v>
      </c>
      <c r="F6" t="e" vm="4">
        <v>#VALUE!</v>
      </c>
    </row>
    <row r="7" spans="5:6" ht="25.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NANDINI NAGARAJ</cp:lastModifiedBy>
  <dcterms:created xsi:type="dcterms:W3CDTF">2021-03-14T20:21:32Z</dcterms:created>
  <dcterms:modified xsi:type="dcterms:W3CDTF">2025-12-08T16:13:27Z</dcterms:modified>
</cp:coreProperties>
</file>